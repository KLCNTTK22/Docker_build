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4000" windowHeight="10800" activeTab="1"/>
  </bookViews>
  <sheets>
    <sheet name="Sheet2" sheetId="2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G4" i="1" l="1"/>
  <c r="G5" i="1"/>
  <c r="G6" i="1"/>
  <c r="G7" i="1"/>
  <c r="G8" i="1"/>
  <c r="G9" i="1"/>
  <c r="G10" i="1"/>
  <c r="G11" i="1"/>
  <c r="G12" i="1"/>
  <c r="G3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<sst xmlns="http://schemas.openxmlformats.org/spreadsheetml/2006/main" count="42" uniqueCount="33">
  <si>
    <t>CHI TIẾT NHẬP XUẤT XĂNG DẦU</t>
  </si>
  <si>
    <t>STT</t>
  </si>
  <si>
    <t>Số chứng chỉ</t>
  </si>
  <si>
    <t>X01N</t>
  </si>
  <si>
    <t>X04N</t>
  </si>
  <si>
    <t>D02X</t>
  </si>
  <si>
    <t>N03X</t>
  </si>
  <si>
    <t>D05N</t>
  </si>
  <si>
    <t>N06X</t>
  </si>
  <si>
    <t>N07X</t>
  </si>
  <si>
    <t>D08X</t>
  </si>
  <si>
    <t>N09N</t>
  </si>
  <si>
    <t>X10N</t>
  </si>
  <si>
    <t>Tên vật tư</t>
  </si>
  <si>
    <t>Số lượng</t>
  </si>
  <si>
    <t>Đơn giá</t>
  </si>
  <si>
    <t>Tiền giảm</t>
  </si>
  <si>
    <t>Thành tiền</t>
  </si>
  <si>
    <t>BẢNG GIÁ</t>
  </si>
  <si>
    <t>Mã vật tư</t>
  </si>
  <si>
    <t>X</t>
  </si>
  <si>
    <t>D</t>
  </si>
  <si>
    <t>N</t>
  </si>
  <si>
    <t>Xăng A92</t>
  </si>
  <si>
    <t>Dầu Diesel</t>
  </si>
  <si>
    <t>Nhớt</t>
  </si>
  <si>
    <t>Row Labels</t>
  </si>
  <si>
    <t>Grand Total</t>
  </si>
  <si>
    <t>Sum of Số lượng</t>
  </si>
  <si>
    <t>Sum of Thành tiền</t>
  </si>
  <si>
    <t>Số  lượng</t>
  </si>
  <si>
    <t>Thành  tiền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</si>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</sst>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72">
    <dxf>
      <font>
        <name val="Times New Roman"/>
        <scheme val="none"/>
      </font>
    </dxf>
    <dxf>
      <font>
        <name val="Times New Roman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scheme val="none"/>
      </font>
    </dxf>
    <dxf>
      <font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[23101002.xlsx]Sheet1!PivotTable2</c:name>
    <c:fmtId val="3"/>
  </c:pivotSource>
  <c:chart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Số  lượng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Sheet1!$E$16:$E$19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Sheet1!$F$16:$F$19</c:f>
              <c:numCache>
                <c:formatCode>General</c:formatCode>
                <c:ptCount val="3"/>
                <c:pt idx="0">
                  <c:v>1050</c:v>
                </c:pt>
                <c:pt idx="1">
                  <c:v>780</c:v>
                </c:pt>
                <c:pt idx="2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2-4CCC-9A28-D56364FDA043}"/>
            </c:ext>
          </c:extLst>
        </c:ser>
        <c:ser>
          <c:idx val="1"/>
          <c:order val="1"/>
          <c:tx>
            <c:strRef>
              <c:f>Sheet1!$G$15</c:f>
              <c:strCache>
                <c:ptCount val="1"/>
                <c:pt idx="0">
                  <c:v>Thành  tiền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Sheet1!$E$16:$E$19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Sheet1!$G$16:$G$19</c:f>
              <c:numCache>
                <c:formatCode>General</c:formatCode>
                <c:ptCount val="3"/>
                <c:pt idx="0">
                  <c:v>2100000</c:v>
                </c:pt>
                <c:pt idx="1">
                  <c:v>3750000</c:v>
                </c:pt>
                <c:pt idx="2">
                  <c:v>2990000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2-4CCC-9A28-D56364FDA0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690663167"/>
        <c:axId val="690655679"/>
      </c:barChart>
      <c:catAx>
        <c:axId val="6906631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55679"/>
        <c:crosses val="autoZero"/>
        <c:auto val="1"/>
        <c:lblAlgn val="ctr"/>
        <c:lblOffset val="100"/>
        <c:noMultiLvlLbl val="0"/>
      </c:catAx>
      <c:valAx>
        <c:axId val="6906556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6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13</xdr:row>
      <xdr:rowOff>104775</xdr:rowOff>
    </xdr:from>
    <xdr:to>
      <xdr:col>15</xdr:col>
      <xdr:colOff>295275</xdr:colOff>
      <xdr:row>24</xdr:row>
      <xdr:rowOff>228600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Y39" refreshedDate="45399.620970370372" createdVersion="6" refreshedVersion="6" minRefreshableVersion="3" recordCount="10">
  <cacheSource type="worksheet">
    <worksheetSource ref="A2:G12" sheet="Sheet1"/>
  </cacheSource>
  <cacheFields count="7">
    <cacheField name="STT" numFmtId="0">
      <sharedItems containsSemiMixedTypes="0" containsString="0" containsNumber="1" containsInteger="1" minValue="1" maxValue="10"/>
    </cacheField>
    <cacheField name="Số chứng chỉ" numFmtId="0">
      <sharedItems/>
    </cacheField>
    <cacheField name="Tên vật tư" numFmtId="0">
      <sharedItems count="3">
        <s v="Xăng A92"/>
        <s v="Dầu Diesel"/>
        <s v="Nhớt"/>
      </sharedItems>
    </cacheField>
    <cacheField name="Số lượng" numFmtId="0">
      <sharedItems containsSemiMixedTypes="0" containsString="0" containsNumber="1" containsInteger="1" minValue="30" maxValue="800"/>
    </cacheField>
    <cacheField name="Đơn giá" numFmtId="0">
      <sharedItems containsSemiMixedTypes="0" containsString="0" containsNumber="1" containsInteger="1" minValue="20000" maxValue="50000"/>
    </cacheField>
    <cacheField name="Tiền giảm" numFmtId="0">
      <sharedItems containsSemiMixedTypes="0" containsString="0" containsNumber="1" containsInteger="1" minValue="1150000" maxValue="18000000"/>
    </cacheField>
    <cacheField name="Thành tiền" numFmtId="0">
      <sharedItems containsSemiMixedTypes="0" containsString="0" containsNumber="1" containsInteger="1" minValue="0" maxValue="2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"/>
    <s v="X01N"/>
    <x v="0"/>
    <n v="50"/>
    <n v="23000"/>
    <n v="1150000"/>
    <n v="0"/>
  </r>
  <r>
    <n v="2"/>
    <s v="D02X"/>
    <x v="1"/>
    <n v="150"/>
    <n v="20000"/>
    <n v="2700000"/>
    <n v="300000"/>
  </r>
  <r>
    <n v="3"/>
    <s v="N03X"/>
    <x v="2"/>
    <n v="100"/>
    <n v="50000"/>
    <n v="4500000"/>
    <n v="500000"/>
  </r>
  <r>
    <n v="4"/>
    <s v="X04N"/>
    <x v="0"/>
    <n v="500"/>
    <n v="23000"/>
    <n v="10350000"/>
    <n v="1150000"/>
  </r>
  <r>
    <n v="5"/>
    <s v="D05N"/>
    <x v="1"/>
    <n v="600"/>
    <n v="20000"/>
    <n v="10800000"/>
    <n v="1200000"/>
  </r>
  <r>
    <n v="6"/>
    <s v="N06X"/>
    <x v="2"/>
    <n v="250"/>
    <n v="50000"/>
    <n v="11250000"/>
    <n v="1250000"/>
  </r>
  <r>
    <n v="7"/>
    <s v="N07X"/>
    <x v="2"/>
    <n v="400"/>
    <n v="50000"/>
    <n v="18000000"/>
    <n v="2000000"/>
  </r>
  <r>
    <n v="8"/>
    <s v="D08X"/>
    <x v="1"/>
    <n v="300"/>
    <n v="20000"/>
    <n v="5400000"/>
    <n v="600000"/>
  </r>
  <r>
    <n v="9"/>
    <s v="N09N"/>
    <x v="2"/>
    <n v="30"/>
    <n v="50000"/>
    <n v="1500000"/>
    <n v="0"/>
  </r>
  <r>
    <n v="10"/>
    <s v="X10N"/>
    <x v="0"/>
    <n v="800"/>
    <n v="23000"/>
    <n v="16560000"/>
    <n v="18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7" firstHeaderRow="0" firstDataRow="1" firstDataCol="1"/>
  <pivotFields count="7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lượng" fld="3" baseField="0" baseItem="0"/>
    <dataField name="Sum of Thành tiề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grandTotalCaption="Tổng" updatedVersion="6" minRefreshableVersion="3" useAutoFormatting="1" itemPrintTitles="1" createdVersion="6" indent="0" outline="1" outlineData="1" multipleFieldFilters="0" chartFormat="4" rowHeaderCaption="Tên vật tư">
  <location ref="E15:G19" firstHeaderRow="0" firstDataRow="1" firstDataCol="1"/>
  <pivotFields count="7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 lượng" fld="3" baseField="0" baseItem="0"/>
    <dataField name="Thành  tiền" fld="6" baseField="0" baseItem="0"/>
  </dataFields>
  <formats count="36">
    <format dxfId="71">
      <pivotArea field="2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">
      <pivotArea field="2" type="button" dataOnly="0" labelOnly="1" outline="0" axis="axisRow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axis="axisRow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2" type="button" dataOnly="0" labelOnly="1" outline="0" axis="axisRow" fieldPosition="0"/>
    </format>
    <format dxfId="52">
      <pivotArea dataOnly="0" labelOnly="1" fieldPosition="0">
        <references count="1">
          <reference field="2" count="0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2" type="button" dataOnly="0" labelOnly="1" outline="0" axis="axisRow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" type="button" dataOnly="0" labelOnly="1" outline="0" axis="axisRow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field="2" type="button" dataOnly="0" labelOnly="1" outline="0" axis="axisRow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A3" sqref="A3:C7"/>
    </sheetView>
  </sheetViews>
  <sheetFormatPr defaultRowHeight="15" x14ac:dyDescent="0.25"/>
  <cols>
    <col min="1" max="1" width="13.140625" bestFit="1" customWidth="1"/>
    <col min="2" max="2" width="15.85546875" bestFit="1" customWidth="1"/>
    <col min="3" max="3" width="17.28515625" bestFit="1" customWidth="1"/>
  </cols>
  <sheetData>
    <row r="3" spans="1:3" x14ac:dyDescent="0.25">
      <c r="A3" s="4" t="s">
        <v>26</v>
      </c>
      <c r="B3" t="s">
        <v>28</v>
      </c>
      <c r="C3" t="s">
        <v>29</v>
      </c>
    </row>
    <row r="4" spans="1:3" x14ac:dyDescent="0.25">
      <c r="A4" s="5" t="s">
        <v>24</v>
      </c>
      <c r="B4" s="6">
        <v>1050</v>
      </c>
      <c r="C4" s="6">
        <v>2100000</v>
      </c>
    </row>
    <row r="5" spans="1:3" x14ac:dyDescent="0.25">
      <c r="A5" s="5" t="s">
        <v>25</v>
      </c>
      <c r="B5" s="6">
        <v>780</v>
      </c>
      <c r="C5" s="6">
        <v>3750000</v>
      </c>
    </row>
    <row r="6" spans="1:3" x14ac:dyDescent="0.25">
      <c r="A6" s="5" t="s">
        <v>23</v>
      </c>
      <c r="B6" s="6">
        <v>1350</v>
      </c>
      <c r="C6" s="6">
        <v>2990000</v>
      </c>
    </row>
    <row r="7" spans="1:3" x14ac:dyDescent="0.25">
      <c r="A7" s="5" t="s">
        <v>27</v>
      </c>
      <c r="B7" s="6">
        <v>3180</v>
      </c>
      <c r="C7" s="6">
        <v>8840000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E21" sqref="E21"/>
    </sheetView>
  </sheetViews>
  <sheetFormatPr defaultRowHeight="18.75" x14ac:dyDescent="0.3"/>
  <cols>
    <col min="1" max="1" width="15.140625" style="1" customWidth="1"/>
    <col min="2" max="2" width="16.5703125" style="1" customWidth="1"/>
    <col min="3" max="3" width="14.5703125" style="1" customWidth="1"/>
    <col min="4" max="4" width="15" style="1" customWidth="1"/>
    <col min="5" max="5" width="19.140625" style="1" customWidth="1"/>
    <col min="6" max="6" width="15.5703125" style="1" customWidth="1"/>
    <col min="7" max="7" width="17.85546875" style="1" customWidth="1"/>
    <col min="8" max="16384" width="9.140625" style="1"/>
  </cols>
  <sheetData>
    <row r="1" spans="1:7" x14ac:dyDescent="0.3">
      <c r="A1" s="7" t="s">
        <v>0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3" t="s">
        <v>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</row>
    <row r="3" spans="1:7" x14ac:dyDescent="0.3">
      <c r="A3" s="2">
        <v>1</v>
      </c>
      <c r="B3" s="2" t="s">
        <v>3</v>
      </c>
      <c r="C3" s="2" t="str">
        <f>VLOOKUP(LEFT(B3,1),$A$16:$B$18,2,0)</f>
        <v>Xăng A92</v>
      </c>
      <c r="D3" s="2">
        <v>50</v>
      </c>
      <c r="E3" s="2">
        <f>VLOOKUP(LEFT(B3,1),$A$16:$C$18,3,0)</f>
        <v>23000</v>
      </c>
      <c r="F3" s="2">
        <f>(D3*E3)*IF(D3&gt;=100,90%,100%)</f>
        <v>1150000</v>
      </c>
      <c r="G3" s="2">
        <f>D3*E3-F3</f>
        <v>0</v>
      </c>
    </row>
    <row r="4" spans="1:7" x14ac:dyDescent="0.3">
      <c r="A4" s="2">
        <v>2</v>
      </c>
      <c r="B4" s="2" t="s">
        <v>5</v>
      </c>
      <c r="C4" s="2" t="str">
        <f t="shared" ref="C4:C12" si="0">VLOOKUP(LEFT(B4,1),$A$16:$B$18,2,0)</f>
        <v>Dầu Diesel</v>
      </c>
      <c r="D4" s="2">
        <v>150</v>
      </c>
      <c r="E4" s="2">
        <f t="shared" ref="E4:E12" si="1">VLOOKUP(LEFT(B4,1),$A$16:$C$18,3,0)</f>
        <v>20000</v>
      </c>
      <c r="F4" s="2">
        <f t="shared" ref="F4:F12" si="2">(D4*E4)*IF(D4&gt;=100,90%,100%)</f>
        <v>2700000</v>
      </c>
      <c r="G4" s="2">
        <f t="shared" ref="G4:G12" si="3">D4*E4-F4</f>
        <v>300000</v>
      </c>
    </row>
    <row r="5" spans="1:7" x14ac:dyDescent="0.3">
      <c r="A5" s="2">
        <v>3</v>
      </c>
      <c r="B5" s="2" t="s">
        <v>6</v>
      </c>
      <c r="C5" s="2" t="str">
        <f t="shared" si="0"/>
        <v>Nhớt</v>
      </c>
      <c r="D5" s="2">
        <v>100</v>
      </c>
      <c r="E5" s="2">
        <f t="shared" si="1"/>
        <v>50000</v>
      </c>
      <c r="F5" s="2">
        <f t="shared" si="2"/>
        <v>4500000</v>
      </c>
      <c r="G5" s="2">
        <f t="shared" si="3"/>
        <v>500000</v>
      </c>
    </row>
    <row r="6" spans="1:7" x14ac:dyDescent="0.3">
      <c r="A6" s="2">
        <v>4</v>
      </c>
      <c r="B6" s="2" t="s">
        <v>4</v>
      </c>
      <c r="C6" s="2" t="str">
        <f t="shared" si="0"/>
        <v>Xăng A92</v>
      </c>
      <c r="D6" s="2">
        <v>500</v>
      </c>
      <c r="E6" s="2">
        <f t="shared" si="1"/>
        <v>23000</v>
      </c>
      <c r="F6" s="2">
        <f t="shared" si="2"/>
        <v>10350000</v>
      </c>
      <c r="G6" s="2">
        <f t="shared" si="3"/>
        <v>1150000</v>
      </c>
    </row>
    <row r="7" spans="1:7" x14ac:dyDescent="0.3">
      <c r="A7" s="2">
        <v>5</v>
      </c>
      <c r="B7" s="2" t="s">
        <v>7</v>
      </c>
      <c r="C7" s="2" t="str">
        <f t="shared" si="0"/>
        <v>Dầu Diesel</v>
      </c>
      <c r="D7" s="2">
        <v>600</v>
      </c>
      <c r="E7" s="2">
        <f t="shared" si="1"/>
        <v>20000</v>
      </c>
      <c r="F7" s="2">
        <f t="shared" si="2"/>
        <v>10800000</v>
      </c>
      <c r="G7" s="2">
        <f t="shared" si="3"/>
        <v>1200000</v>
      </c>
    </row>
    <row r="8" spans="1:7" x14ac:dyDescent="0.3">
      <c r="A8" s="2">
        <v>6</v>
      </c>
      <c r="B8" s="2" t="s">
        <v>8</v>
      </c>
      <c r="C8" s="2" t="str">
        <f t="shared" si="0"/>
        <v>Nhớt</v>
      </c>
      <c r="D8" s="2">
        <v>250</v>
      </c>
      <c r="E8" s="2">
        <f t="shared" si="1"/>
        <v>50000</v>
      </c>
      <c r="F8" s="2">
        <f t="shared" si="2"/>
        <v>11250000</v>
      </c>
      <c r="G8" s="2">
        <f t="shared" si="3"/>
        <v>1250000</v>
      </c>
    </row>
    <row r="9" spans="1:7" x14ac:dyDescent="0.3">
      <c r="A9" s="2">
        <v>7</v>
      </c>
      <c r="B9" s="2" t="s">
        <v>9</v>
      </c>
      <c r="C9" s="2" t="str">
        <f t="shared" si="0"/>
        <v>Nhớt</v>
      </c>
      <c r="D9" s="2">
        <v>400</v>
      </c>
      <c r="E9" s="2">
        <f t="shared" si="1"/>
        <v>50000</v>
      </c>
      <c r="F9" s="2">
        <f t="shared" si="2"/>
        <v>18000000</v>
      </c>
      <c r="G9" s="2">
        <f t="shared" si="3"/>
        <v>2000000</v>
      </c>
    </row>
    <row r="10" spans="1:7" x14ac:dyDescent="0.3">
      <c r="A10" s="2">
        <v>8</v>
      </c>
      <c r="B10" s="2" t="s">
        <v>10</v>
      </c>
      <c r="C10" s="2" t="str">
        <f t="shared" si="0"/>
        <v>Dầu Diesel</v>
      </c>
      <c r="D10" s="2">
        <v>300</v>
      </c>
      <c r="E10" s="2">
        <f t="shared" si="1"/>
        <v>20000</v>
      </c>
      <c r="F10" s="2">
        <f t="shared" si="2"/>
        <v>5400000</v>
      </c>
      <c r="G10" s="2">
        <f t="shared" si="3"/>
        <v>600000</v>
      </c>
    </row>
    <row r="11" spans="1:7" x14ac:dyDescent="0.3">
      <c r="A11" s="2">
        <v>9</v>
      </c>
      <c r="B11" s="2" t="s">
        <v>11</v>
      </c>
      <c r="C11" s="2" t="str">
        <f t="shared" si="0"/>
        <v>Nhớt</v>
      </c>
      <c r="D11" s="2">
        <v>30</v>
      </c>
      <c r="E11" s="2">
        <f t="shared" si="1"/>
        <v>50000</v>
      </c>
      <c r="F11" s="2">
        <f t="shared" si="2"/>
        <v>1500000</v>
      </c>
      <c r="G11" s="2">
        <f t="shared" si="3"/>
        <v>0</v>
      </c>
    </row>
    <row r="12" spans="1:7" x14ac:dyDescent="0.3">
      <c r="A12" s="2">
        <v>10</v>
      </c>
      <c r="B12" s="2" t="s">
        <v>12</v>
      </c>
      <c r="C12" s="2" t="str">
        <f t="shared" si="0"/>
        <v>Xăng A92</v>
      </c>
      <c r="D12" s="2">
        <v>800</v>
      </c>
      <c r="E12" s="2">
        <f t="shared" si="1"/>
        <v>23000</v>
      </c>
      <c r="F12" s="2">
        <f t="shared" si="2"/>
        <v>16560000</v>
      </c>
      <c r="G12" s="2">
        <f t="shared" si="3"/>
        <v>1840000</v>
      </c>
    </row>
    <row r="14" spans="1:7" x14ac:dyDescent="0.3">
      <c r="A14" s="7" t="s">
        <v>18</v>
      </c>
      <c r="B14" s="7"/>
      <c r="C14" s="7"/>
    </row>
    <row r="15" spans="1:7" x14ac:dyDescent="0.3">
      <c r="A15" s="3" t="s">
        <v>19</v>
      </c>
      <c r="B15" s="3" t="s">
        <v>13</v>
      </c>
      <c r="C15" s="3" t="s">
        <v>15</v>
      </c>
      <c r="E15" s="10" t="s">
        <v>13</v>
      </c>
      <c r="F15" s="10" t="s">
        <v>30</v>
      </c>
      <c r="G15" s="10" t="s">
        <v>31</v>
      </c>
    </row>
    <row r="16" spans="1:7" x14ac:dyDescent="0.3">
      <c r="A16" s="2" t="s">
        <v>20</v>
      </c>
      <c r="B16" s="2" t="s">
        <v>23</v>
      </c>
      <c r="C16" s="2">
        <v>23000</v>
      </c>
      <c r="E16" s="8" t="s">
        <v>24</v>
      </c>
      <c r="F16" s="9">
        <v>1050</v>
      </c>
      <c r="G16" s="9">
        <v>2100000</v>
      </c>
    </row>
    <row r="17" spans="1:7" x14ac:dyDescent="0.3">
      <c r="A17" s="2" t="s">
        <v>21</v>
      </c>
      <c r="B17" s="2" t="s">
        <v>24</v>
      </c>
      <c r="C17" s="2">
        <v>20000</v>
      </c>
      <c r="E17" s="8" t="s">
        <v>25</v>
      </c>
      <c r="F17" s="9">
        <v>780</v>
      </c>
      <c r="G17" s="9">
        <v>3750000</v>
      </c>
    </row>
    <row r="18" spans="1:7" x14ac:dyDescent="0.3">
      <c r="A18" s="2" t="s">
        <v>22</v>
      </c>
      <c r="B18" s="2" t="s">
        <v>25</v>
      </c>
      <c r="C18" s="2">
        <v>50000</v>
      </c>
      <c r="E18" s="8" t="s">
        <v>23</v>
      </c>
      <c r="F18" s="9">
        <v>1350</v>
      </c>
      <c r="G18" s="9">
        <v>2990000</v>
      </c>
    </row>
    <row r="19" spans="1:7" x14ac:dyDescent="0.3">
      <c r="E19" s="8" t="s">
        <v>32</v>
      </c>
      <c r="F19" s="9">
        <v>3180</v>
      </c>
      <c r="G19" s="9">
        <v>8840000</v>
      </c>
    </row>
  </sheetData>
  <mergeCells count="2">
    <mergeCell ref="A14:C14"/>
    <mergeCell ref="A1:G1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MAY39</dc:creator>
  <cp:lastModifiedBy>MAY39</cp:lastModifiedBy>
  <dcterms:created xsi:type="dcterms:W3CDTF">2024-04-17T07:03:25Z</dcterms:created>
  <dcterms:modified xsi:type="dcterms:W3CDTF">2024-04-17T08:25:56Z</dcterms:modified>
</cp:coreProperties>
</file>