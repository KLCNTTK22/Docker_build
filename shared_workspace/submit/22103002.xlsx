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hidePivotFieldList="1"/>
  <mc:AlternateContent xmlns:mc="http://schemas.openxmlformats.org/markup-compatibility/2006">
    <mc:Choice Requires="x15">
      <x15ac:absPath xmlns:x15ac="http://schemas.microsoft.com/office/spreadsheetml/2010/11/ac" url="D:\File_study\CNTTK22\Khoa_luan\Grade\Excel\Files\"/>
    </mc:Choice>
  </mc:AlternateContent>
  <xr:revisionPtr revIDLastSave="0" documentId="13_ncr:1_{3472888C-3711-4CF7-A950-81B6D69A98F2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Sheet5" sheetId="7" r:id="rId2"/>
    <sheet name="Sheet3" sheetId="6" r:id="rId3"/>
    <sheet name="Sheet2" sheetId="5" r:id="rId4"/>
    <sheet name="Sheet4" sheetId="4" r:id="rId5"/>
  </sheets>
  <definedNames>
    <definedName name="_xlnm._FilterDatabase" localSheetId="0" hidden="1">Sheet1!$A$2:$G$12</definedName>
  </definedNames>
  <calcPr calcId="191029"/>
  <pivotCaches>
    <pivotCache cacheId="2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" i="1" l="1"/>
  <c r="F10" i="1"/>
  <c r="E3" i="1"/>
  <c r="E6" i="1"/>
  <c r="E11" i="1"/>
  <c r="E4" i="1"/>
  <c r="E7" i="1"/>
  <c r="F7" i="1" s="1"/>
  <c r="E8" i="1"/>
  <c r="F8" i="1" s="1"/>
  <c r="E5" i="1"/>
  <c r="F5" i="1" s="1"/>
  <c r="E9" i="1"/>
  <c r="G9" i="1" s="1"/>
  <c r="E12" i="1"/>
  <c r="E10" i="1"/>
  <c r="C10" i="1"/>
  <c r="C3" i="1"/>
  <c r="C6" i="1"/>
  <c r="C11" i="1"/>
  <c r="C4" i="1"/>
  <c r="C7" i="1"/>
  <c r="C8" i="1"/>
  <c r="C5" i="1"/>
  <c r="C9" i="1"/>
  <c r="C12" i="1"/>
  <c r="G10" i="1" l="1"/>
  <c r="G5" i="1"/>
  <c r="F4" i="1"/>
  <c r="G4" i="1" s="1"/>
  <c r="G8" i="1"/>
  <c r="F11" i="1"/>
  <c r="G11" i="1" s="1"/>
  <c r="G7" i="1"/>
  <c r="F6" i="1"/>
  <c r="G6" i="1" s="1"/>
  <c r="F12" i="1"/>
  <c r="G12" i="1" s="1"/>
  <c r="F3" i="1"/>
  <c r="G3" i="1" s="1"/>
</calcChain>
</file>

<file path=xl/sharedStrings.xml><?xml version="1.0" encoding="utf-8"?>
<sst xmlns="http://schemas.openxmlformats.org/spreadsheetml/2006/main" count="78" uniqueCount="31">
  <si>
    <t>STT</t>
  </si>
  <si>
    <t xml:space="preserve">Số chứng từ </t>
  </si>
  <si>
    <t>Tên vật tư</t>
  </si>
  <si>
    <t xml:space="preserve">Số lượng </t>
  </si>
  <si>
    <t xml:space="preserve">Đơn giá </t>
  </si>
  <si>
    <t>Tiền giảm</t>
  </si>
  <si>
    <t>Thành tiền</t>
  </si>
  <si>
    <t>X01N</t>
  </si>
  <si>
    <t>D02X</t>
  </si>
  <si>
    <t>N03X</t>
  </si>
  <si>
    <t>X04N</t>
  </si>
  <si>
    <t>D05N</t>
  </si>
  <si>
    <t>N06X</t>
  </si>
  <si>
    <t>N07X</t>
  </si>
  <si>
    <t>D08X</t>
  </si>
  <si>
    <t>N09N</t>
  </si>
  <si>
    <t>X10N</t>
  </si>
  <si>
    <t>CHI TIẾT NHẬP XUẤT XĂNG DẦU</t>
  </si>
  <si>
    <t>BẢNG GIÁ</t>
  </si>
  <si>
    <t xml:space="preserve">Mã vật tư </t>
  </si>
  <si>
    <t>Đơn giá</t>
  </si>
  <si>
    <t>X</t>
  </si>
  <si>
    <t>D</t>
  </si>
  <si>
    <t>N</t>
  </si>
  <si>
    <t>Xăng A92</t>
  </si>
  <si>
    <t>Dầu Diesel</t>
  </si>
  <si>
    <t>Nhớt</t>
  </si>
  <si>
    <t>Row Labels</t>
  </si>
  <si>
    <t>Grand Total</t>
  </si>
  <si>
    <t xml:space="preserve">Sum of Số lượng </t>
  </si>
  <si>
    <t>Sum of Thành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</si>
</sst>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pivotButton="1" applyBorder="1"/>
    <xf numFmtId="0" fontId="0" fillId="0" borderId="1" xfId="0" applyBorder="1" applyAlignment="1">
      <alignment horizontal="left"/>
    </xf>
  </cellXfs>
  <cellStyles count="1">
    <cellStyle name="Normal" xfId="0" builtinId="0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[student2.xlsx]Sheet1!PivotTable2</c:name>
    <c:fmtId val="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Sheet1!$J$7</c:f>
              <c:strCache>
                <c:ptCount val="1"/>
                <c:pt idx="0">
                  <c:v>Sum of Số lượng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Sheet1!$I$8:$I$11</c:f>
              <c:strCache>
                <c:ptCount val="3"/>
                <c:pt idx="0">
                  <c:v>Dầu Diesel</c:v>
                </c:pt>
                <c:pt idx="1">
                  <c:v>Nhớt</c:v>
                </c:pt>
                <c:pt idx="2">
                  <c:v>Xăng A92</c:v>
                </c:pt>
              </c:strCache>
            </c:strRef>
          </c:cat>
          <c:val>
            <c:numRef>
              <c:f>Sheet1!$J$8:$J$11</c:f>
              <c:numCache>
                <c:formatCode>General</c:formatCode>
                <c:ptCount val="3"/>
                <c:pt idx="0">
                  <c:v>1050</c:v>
                </c:pt>
                <c:pt idx="1">
                  <c:v>780</c:v>
                </c:pt>
                <c:pt idx="2">
                  <c:v>1350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1A-4450-BE93-F1FBE0025ECB}"/>
            </c:ext>
          </c:extLst>
        </c:ser>
        <c:ser>
          <c:idx val="1"/>
          <c:order val="1"/>
          <c:tx>
            <c:strRef>
              <c:f>Sheet1!$K$7</c:f>
              <c:strCache>
                <c:ptCount val="1"/>
                <c:pt idx="0">
                  <c:v>Sum of Thành tiền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Sheet1!$I$8:$I$11</c:f>
              <c:strCache>
                <c:ptCount val="3"/>
                <c:pt idx="0">
                  <c:v>Dầu Diesel</c:v>
                </c:pt>
                <c:pt idx="1">
                  <c:v>Nhớt</c:v>
                </c:pt>
                <c:pt idx="2">
                  <c:v>Xăng A92</c:v>
                </c:pt>
              </c:strCache>
            </c:strRef>
          </c:cat>
          <c:val>
            <c:numRef>
              <c:f>Sheet1!$K$8:$K$11</c:f>
              <c:numCache>
                <c:formatCode>General</c:formatCode>
                <c:ptCount val="3"/>
                <c:pt idx="0">
                  <c:v>18900000</c:v>
                </c:pt>
                <c:pt idx="1">
                  <c:v>35250000</c:v>
                </c:pt>
                <c:pt idx="2">
                  <c:v>28060000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31A-4450-BE93-F1FBE0025E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80441184"/>
        <c:axId val="1279464144"/>
      </c:barChart>
      <c:catAx>
        <c:axId val="1280441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9464144"/>
        <c:crosses val="autoZero"/>
        <c:auto val="1"/>
        <c:lblAlgn val="ctr"/>
        <c:lblOffset val="100"/>
        <c:noMultiLvlLbl val="0"/>
      </c:catAx>
      <c:valAx>
        <c:axId val="1279464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0441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419100</xdr:colOff>
      <xdr:row>3</xdr:row>
      <xdr:rowOff>91440</xdr:rowOff>
    </xdr:from>
    <xdr:to>
      <xdr:col>10</xdr:col>
      <xdr:colOff>226695</xdr:colOff>
      <xdr:row>17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30F42D3-04B9-4FA0-83A7-4207C2DA04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Y82" refreshedDate="45617.409891203701" createdVersion="6" refreshedVersion="6" minRefreshableVersion="3" recordCount="10" xr:uid="{00000000-000A-0000-FFFF-FFFF06000000}">
  <cacheSource type="worksheet">
    <worksheetSource ref="A2:G12" sheet="Sheet1"/>
  </cacheSource>
  <cacheFields count="7">
    <cacheField name="STT" numFmtId="0">
      <sharedItems containsSemiMixedTypes="0" containsString="0" containsNumber="1" containsInteger="1" minValue="1" maxValue="10"/>
    </cacheField>
    <cacheField name="Số chứng từ " numFmtId="0">
      <sharedItems count="10">
        <s v="D02X"/>
        <s v="D05N"/>
        <s v="D08X"/>
        <s v="N03X"/>
        <s v="N06X"/>
        <s v="N07X"/>
        <s v="N09N"/>
        <s v="X01N"/>
        <s v="X04N"/>
        <s v="X10N"/>
      </sharedItems>
    </cacheField>
    <cacheField name="Tên vật tư" numFmtId="0">
      <sharedItems count="3">
        <s v="Dầu Diesel"/>
        <s v="Nhớt"/>
        <s v="Xăng A92"/>
      </sharedItems>
    </cacheField>
    <cacheField name="Số lượng " numFmtId="0">
      <sharedItems containsSemiMixedTypes="0" containsString="0" containsNumber="1" containsInteger="1" minValue="30" maxValue="800"/>
    </cacheField>
    <cacheField name="Đơn giá " numFmtId="0">
      <sharedItems containsSemiMixedTypes="0" containsString="0" containsNumber="1" containsInteger="1" minValue="20000" maxValue="50000"/>
    </cacheField>
    <cacheField name="Tiền giảm" numFmtId="0">
      <sharedItems containsSemiMixedTypes="0" containsString="0" containsNumber="1" containsInteger="1" minValue="0" maxValue="2000000"/>
    </cacheField>
    <cacheField name="Thành tiền" numFmtId="0">
      <sharedItems containsSemiMixedTypes="0" containsString="0" containsNumber="1" containsInteger="1" minValue="1150000" maxValue="1800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">
  <r>
    <n v="2"/>
    <x v="0"/>
    <x v="0"/>
    <n v="150"/>
    <n v="20000"/>
    <n v="300000"/>
    <n v="2700000"/>
  </r>
  <r>
    <n v="5"/>
    <x v="1"/>
    <x v="0"/>
    <n v="600"/>
    <n v="20000"/>
    <n v="1200000"/>
    <n v="10800000"/>
  </r>
  <r>
    <n v="8"/>
    <x v="2"/>
    <x v="0"/>
    <n v="300"/>
    <n v="20000"/>
    <n v="600000"/>
    <n v="5400000"/>
  </r>
  <r>
    <n v="3"/>
    <x v="3"/>
    <x v="1"/>
    <n v="100"/>
    <n v="50000"/>
    <n v="500000"/>
    <n v="4500000"/>
  </r>
  <r>
    <n v="6"/>
    <x v="4"/>
    <x v="1"/>
    <n v="250"/>
    <n v="50000"/>
    <n v="1250000"/>
    <n v="11250000"/>
  </r>
  <r>
    <n v="7"/>
    <x v="5"/>
    <x v="1"/>
    <n v="400"/>
    <n v="50000"/>
    <n v="2000000"/>
    <n v="18000000"/>
  </r>
  <r>
    <n v="9"/>
    <x v="6"/>
    <x v="1"/>
    <n v="30"/>
    <n v="50000"/>
    <n v="0"/>
    <n v="1500000"/>
  </r>
  <r>
    <n v="1"/>
    <x v="7"/>
    <x v="2"/>
    <n v="50"/>
    <n v="23000"/>
    <n v="0"/>
    <n v="1150000"/>
  </r>
  <r>
    <n v="4"/>
    <x v="8"/>
    <x v="2"/>
    <n v="500"/>
    <n v="23000"/>
    <n v="1150000"/>
    <n v="10350000"/>
  </r>
  <r>
    <n v="10"/>
    <x v="9"/>
    <x v="2"/>
    <n v="800"/>
    <n v="23000"/>
    <n v="1840000"/>
    <n v="16560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2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5">
  <location ref="I7:K11" firstHeaderRow="0" firstDataRow="1" firstDataCol="1"/>
  <pivotFields count="7">
    <pivotField showAll="0"/>
    <pivotField showAll="0"/>
    <pivotField axis="axisRow" showAll="0">
      <items count="4">
        <item x="0"/>
        <item x="1"/>
        <item x="2"/>
        <item t="default"/>
      </items>
    </pivotField>
    <pivotField dataField="1" showAll="0"/>
    <pivotField showAll="0"/>
    <pivotField showAll="0"/>
    <pivotField dataField="1"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ố lượng " fld="3" baseField="0" baseItem="0"/>
    <dataField name="Sum of Thành tiền" fld="6" baseField="0" baseItem="0"/>
  </dataFields>
  <formats count="6">
    <format dxfId="10">
      <pivotArea type="all" dataOnly="0" outline="0" fieldPosition="0"/>
    </format>
    <format dxfId="9">
      <pivotArea outline="0" collapsedLevelsAreSubtotals="1" fieldPosition="0"/>
    </format>
    <format dxfId="8">
      <pivotArea field="2" type="button" dataOnly="0" labelOnly="1" outline="0" axis="axisRow" fieldPosition="0"/>
    </format>
    <format dxfId="7">
      <pivotArea dataOnly="0" labelOnly="1" fieldPosition="0">
        <references count="1">
          <reference field="2" count="0"/>
        </references>
      </pivotArea>
    </format>
    <format dxfId="6">
      <pivotArea dataOnly="0" labelOnly="1" grandRow="1" outline="0" fieldPosition="0"/>
    </format>
    <format dxfId="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8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12"/>
  <sheetViews>
    <sheetView workbookViewId="0">
      <selection activeCell="A2" sqref="A2:G12"/>
    </sheetView>
  </sheetViews>
  <sheetFormatPr defaultRowHeight="13.8" x14ac:dyDescent="0.25"/>
  <cols>
    <col min="2" max="2" width="16.33203125" customWidth="1"/>
    <col min="3" max="3" width="13.33203125" customWidth="1"/>
    <col min="5" max="5" width="13.109375" customWidth="1"/>
    <col min="6" max="6" width="14.5546875" customWidth="1"/>
    <col min="7" max="8" width="16.109375" customWidth="1"/>
    <col min="9" max="9" width="14.33203125" customWidth="1"/>
    <col min="10" max="10" width="16.6640625" customWidth="1"/>
    <col min="11" max="11" width="18.109375" customWidth="1"/>
  </cols>
  <sheetData>
    <row r="1" spans="1:11" x14ac:dyDescent="0.25">
      <c r="A1" t="s">
        <v>17</v>
      </c>
      <c r="I1" t="s">
        <v>18</v>
      </c>
    </row>
    <row r="2" spans="1:1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I2" s="1" t="s">
        <v>19</v>
      </c>
      <c r="J2" s="1" t="s">
        <v>2</v>
      </c>
      <c r="K2" s="1" t="s">
        <v>20</v>
      </c>
    </row>
    <row r="3" spans="1:11" hidden="1" x14ac:dyDescent="0.25">
      <c r="A3" s="1">
        <v>2</v>
      </c>
      <c r="B3" s="1" t="s">
        <v>8</v>
      </c>
      <c r="C3" s="1" t="str">
        <f t="shared" ref="C3:C12" si="0">VLOOKUP(LEFT(B3,1),$I$2:$K$5,2,0)</f>
        <v>Dầu Diesel</v>
      </c>
      <c r="D3" s="1">
        <v>150</v>
      </c>
      <c r="E3" s="1">
        <f t="shared" ref="E3:E12" si="1">VLOOKUP(LEFT(B3,1),$I$2:$K$5,3,0)</f>
        <v>20000</v>
      </c>
      <c r="F3" s="1">
        <f t="shared" ref="F3:F12" si="2">IF(D3&gt;=100,10%*(D3*E3),0)</f>
        <v>300000</v>
      </c>
      <c r="G3" s="1">
        <f t="shared" ref="G3:G12" si="3">D3*E3-F3</f>
        <v>2700000</v>
      </c>
      <c r="I3" s="1" t="s">
        <v>21</v>
      </c>
      <c r="J3" s="1" t="s">
        <v>24</v>
      </c>
      <c r="K3" s="1">
        <v>23000</v>
      </c>
    </row>
    <row r="4" spans="1:11" hidden="1" x14ac:dyDescent="0.25">
      <c r="A4" s="2">
        <v>5</v>
      </c>
      <c r="B4" s="2" t="s">
        <v>11</v>
      </c>
      <c r="C4" s="2" t="str">
        <f t="shared" si="0"/>
        <v>Dầu Diesel</v>
      </c>
      <c r="D4" s="2">
        <v>600</v>
      </c>
      <c r="E4" s="2">
        <f t="shared" si="1"/>
        <v>20000</v>
      </c>
      <c r="F4" s="2">
        <f t="shared" si="2"/>
        <v>1200000</v>
      </c>
      <c r="G4" s="2">
        <f t="shared" si="3"/>
        <v>10800000</v>
      </c>
      <c r="I4" s="1" t="s">
        <v>22</v>
      </c>
      <c r="J4" s="1" t="s">
        <v>25</v>
      </c>
      <c r="K4" s="1">
        <v>20000</v>
      </c>
    </row>
    <row r="5" spans="1:11" hidden="1" x14ac:dyDescent="0.25">
      <c r="A5" s="2">
        <v>8</v>
      </c>
      <c r="B5" s="2" t="s">
        <v>14</v>
      </c>
      <c r="C5" s="2" t="str">
        <f t="shared" si="0"/>
        <v>Dầu Diesel</v>
      </c>
      <c r="D5" s="2">
        <v>300</v>
      </c>
      <c r="E5" s="2">
        <f t="shared" si="1"/>
        <v>20000</v>
      </c>
      <c r="F5" s="2">
        <f t="shared" si="2"/>
        <v>600000</v>
      </c>
      <c r="G5" s="2">
        <f t="shared" si="3"/>
        <v>5400000</v>
      </c>
      <c r="I5" s="1" t="s">
        <v>23</v>
      </c>
      <c r="J5" s="1" t="s">
        <v>26</v>
      </c>
      <c r="K5" s="1">
        <v>50000</v>
      </c>
    </row>
    <row r="6" spans="1:11" x14ac:dyDescent="0.25">
      <c r="A6" s="1">
        <v>3</v>
      </c>
      <c r="B6" s="1" t="s">
        <v>9</v>
      </c>
      <c r="C6" s="1" t="str">
        <f t="shared" si="0"/>
        <v>Nhớt</v>
      </c>
      <c r="D6" s="1">
        <v>100</v>
      </c>
      <c r="E6" s="1">
        <f t="shared" si="1"/>
        <v>50000</v>
      </c>
      <c r="F6" s="1">
        <f t="shared" si="2"/>
        <v>500000</v>
      </c>
      <c r="G6" s="1">
        <f t="shared" si="3"/>
        <v>4500000</v>
      </c>
    </row>
    <row r="7" spans="1:11" x14ac:dyDescent="0.25">
      <c r="A7" s="2">
        <v>6</v>
      </c>
      <c r="B7" s="2" t="s">
        <v>12</v>
      </c>
      <c r="C7" s="2" t="str">
        <f t="shared" si="0"/>
        <v>Nhớt</v>
      </c>
      <c r="D7" s="2">
        <v>250</v>
      </c>
      <c r="E7" s="2">
        <f t="shared" si="1"/>
        <v>50000</v>
      </c>
      <c r="F7" s="2">
        <f t="shared" si="2"/>
        <v>1250000</v>
      </c>
      <c r="G7" s="2">
        <f t="shared" si="3"/>
        <v>11250000</v>
      </c>
      <c r="I7" s="3" t="s">
        <v>27</v>
      </c>
      <c r="J7" s="1" t="s">
        <v>29</v>
      </c>
      <c r="K7" s="1" t="s">
        <v>30</v>
      </c>
    </row>
    <row r="8" spans="1:11" x14ac:dyDescent="0.25">
      <c r="A8" s="2">
        <v>7</v>
      </c>
      <c r="B8" s="2" t="s">
        <v>13</v>
      </c>
      <c r="C8" s="2" t="str">
        <f t="shared" si="0"/>
        <v>Nhớt</v>
      </c>
      <c r="D8" s="2">
        <v>400</v>
      </c>
      <c r="E8" s="2">
        <f t="shared" si="1"/>
        <v>50000</v>
      </c>
      <c r="F8" s="2">
        <f t="shared" si="2"/>
        <v>2000000</v>
      </c>
      <c r="G8" s="2">
        <f t="shared" si="3"/>
        <v>18000000</v>
      </c>
      <c r="I8" s="4" t="s">
        <v>25</v>
      </c>
      <c r="J8" s="1">
        <v>1050</v>
      </c>
      <c r="K8" s="1">
        <v>18900000</v>
      </c>
    </row>
    <row r="9" spans="1:11" x14ac:dyDescent="0.25">
      <c r="A9" s="2">
        <v>9</v>
      </c>
      <c r="B9" s="2" t="s">
        <v>15</v>
      </c>
      <c r="C9" s="2" t="str">
        <f t="shared" si="0"/>
        <v>Nhớt</v>
      </c>
      <c r="D9" s="2">
        <v>30</v>
      </c>
      <c r="E9" s="2">
        <f t="shared" si="1"/>
        <v>50000</v>
      </c>
      <c r="F9" s="2">
        <f t="shared" si="2"/>
        <v>0</v>
      </c>
      <c r="G9" s="2">
        <f t="shared" si="3"/>
        <v>1500000</v>
      </c>
      <c r="I9" s="4" t="s">
        <v>26</v>
      </c>
      <c r="J9" s="1">
        <v>780</v>
      </c>
      <c r="K9" s="1">
        <v>35250000</v>
      </c>
    </row>
    <row r="10" spans="1:11" hidden="1" x14ac:dyDescent="0.25">
      <c r="A10" s="1">
        <v>1</v>
      </c>
      <c r="B10" s="1" t="s">
        <v>7</v>
      </c>
      <c r="C10" s="1" t="str">
        <f t="shared" si="0"/>
        <v>Xăng A92</v>
      </c>
      <c r="D10" s="1">
        <v>50</v>
      </c>
      <c r="E10" s="1">
        <f t="shared" si="1"/>
        <v>23000</v>
      </c>
      <c r="F10" s="1">
        <f t="shared" si="2"/>
        <v>0</v>
      </c>
      <c r="G10" s="1">
        <f t="shared" si="3"/>
        <v>1150000</v>
      </c>
      <c r="I10" s="4" t="s">
        <v>24</v>
      </c>
      <c r="J10" s="1">
        <v>1350</v>
      </c>
      <c r="K10" s="1">
        <v>28060000</v>
      </c>
    </row>
    <row r="11" spans="1:11" hidden="1" x14ac:dyDescent="0.25">
      <c r="A11" s="2">
        <v>4</v>
      </c>
      <c r="B11" s="2" t="s">
        <v>10</v>
      </c>
      <c r="C11" s="2" t="str">
        <f t="shared" si="0"/>
        <v>Xăng A92</v>
      </c>
      <c r="D11" s="2">
        <v>500</v>
      </c>
      <c r="E11" s="2">
        <f t="shared" si="1"/>
        <v>23000</v>
      </c>
      <c r="F11" s="2">
        <f t="shared" si="2"/>
        <v>1150000</v>
      </c>
      <c r="G11" s="2">
        <f t="shared" si="3"/>
        <v>10350000</v>
      </c>
      <c r="I11" s="4" t="s">
        <v>28</v>
      </c>
      <c r="J11" s="1">
        <v>3180</v>
      </c>
      <c r="K11" s="1">
        <v>82210000</v>
      </c>
    </row>
    <row r="12" spans="1:11" hidden="1" x14ac:dyDescent="0.25">
      <c r="A12" s="2">
        <v>10</v>
      </c>
      <c r="B12" s="2" t="s">
        <v>16</v>
      </c>
      <c r="C12" s="2" t="str">
        <f t="shared" si="0"/>
        <v>Xăng A92</v>
      </c>
      <c r="D12" s="2">
        <v>800</v>
      </c>
      <c r="E12" s="2">
        <f t="shared" si="1"/>
        <v>23000</v>
      </c>
      <c r="F12" s="2">
        <f t="shared" si="2"/>
        <v>1840000</v>
      </c>
      <c r="G12" s="2">
        <f t="shared" si="3"/>
        <v>16560000</v>
      </c>
    </row>
  </sheetData>
  <autoFilter ref="A2:G12" xr:uid="{00000000-0001-0000-0000-000000000000}">
    <filterColumn colId="2">
      <filters>
        <filter val="Nhớt"/>
      </filters>
    </filterColumn>
  </autoFilter>
  <sortState xmlns:xlrd2="http://schemas.microsoft.com/office/spreadsheetml/2017/richdata2" ref="A3:G12">
    <sortCondition ref="C3:C12"/>
  </sortState>
  <conditionalFormatting sqref="D3:D12">
    <cfRule type="cellIs" dxfId="4" priority="1" operator="greaterThan">
      <formula>400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8D241-2D9A-4D44-9230-8CEA810BFFA9}">
  <dimension ref="A1:G5"/>
  <sheetViews>
    <sheetView tabSelected="1" workbookViewId="0">
      <selection activeCell="F13" sqref="F13"/>
    </sheetView>
  </sheetViews>
  <sheetFormatPr defaultRowHeight="13.8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1">
        <v>3</v>
      </c>
      <c r="B2" s="1" t="s">
        <v>9</v>
      </c>
      <c r="C2" s="1" t="s">
        <v>26</v>
      </c>
      <c r="D2" s="1">
        <v>100</v>
      </c>
      <c r="E2" s="1">
        <v>50000</v>
      </c>
      <c r="F2" s="1">
        <v>500000</v>
      </c>
      <c r="G2" s="1">
        <v>4500000</v>
      </c>
    </row>
    <row r="3" spans="1:7" x14ac:dyDescent="0.25">
      <c r="A3" s="2">
        <v>6</v>
      </c>
      <c r="B3" s="2" t="s">
        <v>12</v>
      </c>
      <c r="C3" s="2" t="s">
        <v>26</v>
      </c>
      <c r="D3" s="2">
        <v>250</v>
      </c>
      <c r="E3" s="2">
        <v>50000</v>
      </c>
      <c r="F3" s="2">
        <v>1250000</v>
      </c>
      <c r="G3" s="2">
        <v>11250000</v>
      </c>
    </row>
    <row r="4" spans="1:7" x14ac:dyDescent="0.25">
      <c r="A4" s="2">
        <v>7</v>
      </c>
      <c r="B4" s="2" t="s">
        <v>13</v>
      </c>
      <c r="C4" s="2" t="s">
        <v>26</v>
      </c>
      <c r="D4" s="2">
        <v>400</v>
      </c>
      <c r="E4" s="2">
        <v>50000</v>
      </c>
      <c r="F4" s="2">
        <v>2000000</v>
      </c>
      <c r="G4" s="2">
        <v>18000000</v>
      </c>
    </row>
    <row r="5" spans="1:7" x14ac:dyDescent="0.25">
      <c r="A5" s="2">
        <v>9</v>
      </c>
      <c r="B5" s="2" t="s">
        <v>15</v>
      </c>
      <c r="C5" s="2" t="s">
        <v>26</v>
      </c>
      <c r="D5" s="2">
        <v>30</v>
      </c>
      <c r="E5" s="2">
        <v>50000</v>
      </c>
      <c r="F5" s="2">
        <v>0</v>
      </c>
      <c r="G5" s="2">
        <v>1500000</v>
      </c>
    </row>
  </sheetData>
  <conditionalFormatting sqref="D2:D5">
    <cfRule type="cellIs" dxfId="0" priority="1" operator="greaterThan">
      <formula>400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A98F6-BE83-484E-98A3-25CD0676D7A2}">
  <dimension ref="A1:G5"/>
  <sheetViews>
    <sheetView workbookViewId="0">
      <selection sqref="A1:G5"/>
    </sheetView>
  </sheetViews>
  <sheetFormatPr defaultRowHeight="13.8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1">
        <v>3</v>
      </c>
      <c r="B2" s="1" t="s">
        <v>9</v>
      </c>
      <c r="C2" s="1" t="s">
        <v>26</v>
      </c>
      <c r="D2" s="1">
        <v>100</v>
      </c>
      <c r="E2" s="1">
        <v>50000</v>
      </c>
      <c r="F2" s="1">
        <v>500000</v>
      </c>
      <c r="G2" s="1">
        <v>4500000</v>
      </c>
    </row>
    <row r="3" spans="1:7" x14ac:dyDescent="0.25">
      <c r="A3" s="2">
        <v>6</v>
      </c>
      <c r="B3" s="2" t="s">
        <v>12</v>
      </c>
      <c r="C3" s="2" t="s">
        <v>26</v>
      </c>
      <c r="D3" s="2">
        <v>250</v>
      </c>
      <c r="E3" s="2">
        <v>50000</v>
      </c>
      <c r="F3" s="2">
        <v>1250000</v>
      </c>
      <c r="G3" s="2">
        <v>11250000</v>
      </c>
    </row>
    <row r="4" spans="1:7" x14ac:dyDescent="0.25">
      <c r="A4" s="2">
        <v>7</v>
      </c>
      <c r="B4" s="2" t="s">
        <v>13</v>
      </c>
      <c r="C4" s="2" t="s">
        <v>26</v>
      </c>
      <c r="D4" s="2">
        <v>400</v>
      </c>
      <c r="E4" s="2">
        <v>50000</v>
      </c>
      <c r="F4" s="2">
        <v>2000000</v>
      </c>
      <c r="G4" s="2">
        <v>18000000</v>
      </c>
    </row>
    <row r="5" spans="1:7" x14ac:dyDescent="0.25">
      <c r="A5" s="2">
        <v>9</v>
      </c>
      <c r="B5" s="2" t="s">
        <v>15</v>
      </c>
      <c r="C5" s="2" t="s">
        <v>26</v>
      </c>
      <c r="D5" s="2">
        <v>30</v>
      </c>
      <c r="E5" s="2">
        <v>50000</v>
      </c>
      <c r="F5" s="2">
        <v>0</v>
      </c>
      <c r="G5" s="2">
        <v>1500000</v>
      </c>
    </row>
  </sheetData>
  <conditionalFormatting sqref="D2:D5">
    <cfRule type="cellIs" dxfId="2" priority="1" operator="greaterThan">
      <formula>400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86E38-6B82-49FE-9924-B4CDD8AC1622}">
  <dimension ref="A1:G4"/>
  <sheetViews>
    <sheetView workbookViewId="0">
      <selection sqref="A1:G4"/>
    </sheetView>
  </sheetViews>
  <sheetFormatPr defaultRowHeight="13.8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1">
        <v>1</v>
      </c>
      <c r="B2" s="1" t="s">
        <v>7</v>
      </c>
      <c r="C2" s="1" t="s">
        <v>24</v>
      </c>
      <c r="D2" s="1">
        <v>50</v>
      </c>
      <c r="E2" s="1">
        <v>23000</v>
      </c>
      <c r="F2" s="1">
        <v>0</v>
      </c>
      <c r="G2" s="1">
        <v>1150000</v>
      </c>
    </row>
    <row r="3" spans="1:7" x14ac:dyDescent="0.25">
      <c r="A3" s="2">
        <v>4</v>
      </c>
      <c r="B3" s="2" t="s">
        <v>10</v>
      </c>
      <c r="C3" s="2" t="s">
        <v>24</v>
      </c>
      <c r="D3" s="2">
        <v>500</v>
      </c>
      <c r="E3" s="2">
        <v>23000</v>
      </c>
      <c r="F3" s="2">
        <v>1150000</v>
      </c>
      <c r="G3" s="2">
        <v>10350000</v>
      </c>
    </row>
    <row r="4" spans="1:7" x14ac:dyDescent="0.25">
      <c r="A4" s="2">
        <v>10</v>
      </c>
      <c r="B4" s="2" t="s">
        <v>16</v>
      </c>
      <c r="C4" s="2" t="s">
        <v>24</v>
      </c>
      <c r="D4" s="2">
        <v>800</v>
      </c>
      <c r="E4" s="2">
        <v>23000</v>
      </c>
      <c r="F4" s="2">
        <v>1840000</v>
      </c>
      <c r="G4" s="2">
        <v>16560000</v>
      </c>
    </row>
  </sheetData>
  <conditionalFormatting sqref="D2:D4">
    <cfRule type="cellIs" dxfId="3" priority="1" operator="greaterThan">
      <formula>400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N9" sqref="N9"/>
    </sheetView>
  </sheetViews>
  <sheetFormatPr defaultRowHeight="13.8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Sheet5</vt:lpstr>
      <vt:lpstr>Sheet3</vt:lpstr>
      <vt:lpstr>Sheet2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MAY82</dc:creator>
  <cp:lastModifiedBy>Mai Văn Quang Lâm</cp:lastModifiedBy>
  <dcterms:created xsi:type="dcterms:W3CDTF">2024-11-21T01:55:16Z</dcterms:created>
  <dcterms:modified xsi:type="dcterms:W3CDTF">2026-04-02T14:30:35Z</dcterms:modified>
</cp:coreProperties>
</file>