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4000" windowHeight="9510"/>
  </bookViews>
  <sheets>
    <sheet name="chính" sheetId="1" r:id="rId1"/>
    <sheet name="xăng a92" sheetId="2" r:id="rId2"/>
    <sheet name="dầu diesel" sheetId="3" r:id="rId3"/>
    <sheet name="nhớt" sheetId="4" r:id="rId4"/>
  </sheets>
  <definedNames>
    <definedName name="_xlnm._FilterDatabase" localSheetId="0" hidden="1">chính!$A$9:$G$18</definedName>
  </definedNames>
  <calcPr calcId="162913"/>
  <pivotCaches>
    <pivotCache cacheId="4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3" l="1"/>
  <c r="C11" i="3"/>
  <c r="F10" i="3"/>
  <c r="G10" i="3" s="1"/>
  <c r="E10" i="3"/>
  <c r="C10" i="3"/>
  <c r="E9" i="3"/>
  <c r="C9" i="3"/>
  <c r="E15" i="4"/>
  <c r="D15" i="4"/>
  <c r="F15" i="4" s="1"/>
  <c r="B15" i="4"/>
  <c r="E14" i="4"/>
  <c r="F14" i="4" s="1"/>
  <c r="D14" i="4"/>
  <c r="B14" i="4"/>
  <c r="D13" i="4"/>
  <c r="B13" i="4"/>
  <c r="D12" i="4"/>
  <c r="B12" i="4"/>
  <c r="G7" i="2"/>
  <c r="G8" i="2"/>
  <c r="G6" i="2"/>
  <c r="D7" i="2"/>
  <c r="D8" i="2"/>
  <c r="E8" i="2" s="1"/>
  <c r="D6" i="2"/>
  <c r="F6" i="2" s="1"/>
  <c r="B7" i="2"/>
  <c r="B8" i="2"/>
  <c r="B6" i="2"/>
  <c r="E6" i="2"/>
  <c r="F15" i="1"/>
  <c r="F16" i="1"/>
  <c r="E9" i="1"/>
  <c r="F9" i="1" s="1"/>
  <c r="E12" i="1"/>
  <c r="F12" i="1" s="1"/>
  <c r="E17" i="1"/>
  <c r="E10" i="1"/>
  <c r="E13" i="1"/>
  <c r="E14" i="1"/>
  <c r="E11" i="1"/>
  <c r="F11" i="1" s="1"/>
  <c r="E15" i="1"/>
  <c r="E18" i="1"/>
  <c r="F18" i="1" s="1"/>
  <c r="E16" i="1"/>
  <c r="C16" i="1"/>
  <c r="C9" i="1"/>
  <c r="C12" i="1"/>
  <c r="C17" i="1"/>
  <c r="C10" i="1"/>
  <c r="C13" i="1"/>
  <c r="C14" i="1"/>
  <c r="C11" i="1"/>
  <c r="C15" i="1"/>
  <c r="C18" i="1"/>
  <c r="G15" i="1" l="1"/>
  <c r="G16" i="1"/>
  <c r="F9" i="3"/>
  <c r="G9" i="3" s="1"/>
  <c r="F11" i="3"/>
  <c r="G11" i="3" s="1"/>
  <c r="E12" i="4"/>
  <c r="F12" i="4" s="1"/>
  <c r="E13" i="4"/>
  <c r="F13" i="4" s="1"/>
  <c r="E7" i="2"/>
  <c r="F7" i="2" s="1"/>
  <c r="F8" i="2"/>
  <c r="G9" i="1"/>
  <c r="G12" i="1"/>
  <c r="F14" i="1"/>
  <c r="G14" i="1" s="1"/>
  <c r="F13" i="1"/>
  <c r="G13" i="1" s="1"/>
  <c r="F10" i="1"/>
  <c r="G10" i="1" s="1"/>
  <c r="F17" i="1"/>
  <c r="G17" i="1" s="1"/>
  <c r="G18" i="1"/>
  <c r="G11" i="1"/>
</calcChain>
</file>

<file path=xl/sharedStrings.xml><?xml version="1.0" encoding="utf-8"?>
<sst xmlns="http://schemas.openxmlformats.org/spreadsheetml/2006/main" count="72" uniqueCount="30">
  <si>
    <t>BẢNG GIÁ</t>
  </si>
  <si>
    <t>Mã vật tư</t>
  </si>
  <si>
    <t>Tên vật tư</t>
  </si>
  <si>
    <t>Đơn giá</t>
  </si>
  <si>
    <t>X</t>
  </si>
  <si>
    <t>D</t>
  </si>
  <si>
    <t>N</t>
  </si>
  <si>
    <t>Xăng A92</t>
  </si>
  <si>
    <t>Dầu Diesel</t>
  </si>
  <si>
    <t>Nhớt</t>
  </si>
  <si>
    <t>CHI TIẾT NHẬP XUẤT XĂNG DẦU</t>
  </si>
  <si>
    <t>STT</t>
  </si>
  <si>
    <t>Số chứng từ</t>
  </si>
  <si>
    <t>X01N</t>
  </si>
  <si>
    <t>X04N</t>
  </si>
  <si>
    <t>D02X</t>
  </si>
  <si>
    <t>N03X</t>
  </si>
  <si>
    <t>D05N</t>
  </si>
  <si>
    <t>N06X</t>
  </si>
  <si>
    <t>N07X</t>
  </si>
  <si>
    <t>D08X</t>
  </si>
  <si>
    <t>N09N</t>
  </si>
  <si>
    <t>X10N</t>
  </si>
  <si>
    <t>Số lượng</t>
  </si>
  <si>
    <t>Tiền giảm</t>
  </si>
  <si>
    <t>Thành tiền</t>
  </si>
  <si>
    <t>Sum of Số lượng</t>
  </si>
  <si>
    <t>Sum of Thành tiền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</si>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</sst>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[24307021.xlsx]chính!PivotTable23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chính!$B$23</c:f>
              <c:strCache>
                <c:ptCount val="1"/>
                <c:pt idx="0">
                  <c:v>Sum of Số lượng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chính!$A$24:$A$27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chính!$B$24:$B$27</c:f>
              <c:numCache>
                <c:formatCode>General</c:formatCode>
                <c:ptCount val="3"/>
                <c:pt idx="0">
                  <c:v>1050</c:v>
                </c:pt>
                <c:pt idx="1">
                  <c:v>780</c:v>
                </c:pt>
                <c:pt idx="2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F0-4B90-BD0B-8DA4AEFF44BD}"/>
            </c:ext>
          </c:extLst>
        </c:ser>
        <c:ser>
          <c:idx val="1"/>
          <c:order val="1"/>
          <c:tx>
            <c:strRef>
              <c:f>chính!$C$23</c:f>
              <c:strCache>
                <c:ptCount val="1"/>
                <c:pt idx="0">
                  <c:v>Sum of Thành tiền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chính!$A$24:$A$27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chính!$C$24:$C$27</c:f>
              <c:numCache>
                <c:formatCode>General</c:formatCode>
                <c:ptCount val="3"/>
                <c:pt idx="0">
                  <c:v>18900000</c:v>
                </c:pt>
                <c:pt idx="1">
                  <c:v>35250000</c:v>
                </c:pt>
                <c:pt idx="2">
                  <c:v>28060000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F0-4B90-BD0B-8DA4AEFF4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6625583"/>
        <c:axId val="1866624751"/>
      </c:barChart>
      <c:catAx>
        <c:axId val="186662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624751"/>
        <c:crosses val="autoZero"/>
        <c:auto val="1"/>
        <c:lblAlgn val="ctr"/>
        <c:lblOffset val="100"/>
        <c:noMultiLvlLbl val="0"/>
      </c:catAx>
      <c:valAx>
        <c:axId val="18666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62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604836</xdr:colOff>
      <xdr:row>2</xdr:row>
      <xdr:rowOff>171449</xdr:rowOff>
    </xdr:from>
    <xdr:to>
      <xdr:col>19</xdr:col>
      <xdr:colOff>28575</xdr:colOff>
      <xdr:row>20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Y84" refreshedDate="45618.069362615737" createdVersion="6" refreshedVersion="6" minRefreshableVersion="3" recordCount="10">
  <cacheSource type="worksheet">
    <worksheetSource ref="A8:G18" sheet="chính"/>
  </cacheSource>
  <cacheFields count="7">
    <cacheField name="STT" numFmtId="0">
      <sharedItems containsSemiMixedTypes="0" containsString="0" containsNumber="1" containsInteger="1" minValue="1" maxValue="10"/>
    </cacheField>
    <cacheField name="Số chứng từ" numFmtId="0">
      <sharedItems/>
    </cacheField>
    <cacheField name="Tên vật tư" numFmtId="0">
      <sharedItems count="3">
        <s v="Dầu Diesel"/>
        <s v="Nhớt"/>
        <s v="Xăng A92"/>
      </sharedItems>
    </cacheField>
    <cacheField name="Số lượng" numFmtId="0">
      <sharedItems containsSemiMixedTypes="0" containsString="0" containsNumber="1" containsInteger="1" minValue="30" maxValue="800"/>
    </cacheField>
    <cacheField name="Đơn giá" numFmtId="0">
      <sharedItems containsSemiMixedTypes="0" containsString="0" containsNumber="1" containsInteger="1" minValue="20000" maxValue="50000"/>
    </cacheField>
    <cacheField name="Tiền giảm" numFmtId="0">
      <sharedItems containsSemiMixedTypes="0" containsString="0" containsNumber="1" containsInteger="1" minValue="0" maxValue="2000000"/>
    </cacheField>
    <cacheField name="Thành tiền" numFmtId="0">
      <sharedItems containsSemiMixedTypes="0" containsString="0" containsNumber="1" containsInteger="1" minValue="1150000" maxValue="18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2"/>
    <s v="D02X"/>
    <x v="0"/>
    <n v="150"/>
    <n v="20000"/>
    <n v="300000"/>
    <n v="2700000"/>
  </r>
  <r>
    <n v="5"/>
    <s v="D05N"/>
    <x v="0"/>
    <n v="600"/>
    <n v="20000"/>
    <n v="1200000"/>
    <n v="10800000"/>
  </r>
  <r>
    <n v="8"/>
    <s v="D08X"/>
    <x v="0"/>
    <n v="300"/>
    <n v="20000"/>
    <n v="600000"/>
    <n v="5400000"/>
  </r>
  <r>
    <n v="3"/>
    <s v="N03X"/>
    <x v="1"/>
    <n v="100"/>
    <n v="50000"/>
    <n v="500000"/>
    <n v="4500000"/>
  </r>
  <r>
    <n v="6"/>
    <s v="N06X"/>
    <x v="1"/>
    <n v="250"/>
    <n v="50000"/>
    <n v="1250000"/>
    <n v="11250000"/>
  </r>
  <r>
    <n v="7"/>
    <s v="N07X"/>
    <x v="1"/>
    <n v="400"/>
    <n v="50000"/>
    <n v="2000000"/>
    <n v="18000000"/>
  </r>
  <r>
    <n v="9"/>
    <s v="N09N"/>
    <x v="1"/>
    <n v="30"/>
    <n v="50000"/>
    <n v="0"/>
    <n v="1500000"/>
  </r>
  <r>
    <n v="1"/>
    <s v="X01N"/>
    <x v="2"/>
    <n v="50"/>
    <n v="23000"/>
    <n v="0"/>
    <n v="1150000"/>
  </r>
  <r>
    <n v="4"/>
    <s v="X04N"/>
    <x v="2"/>
    <n v="500"/>
    <n v="23000"/>
    <n v="1150000"/>
    <n v="10350000"/>
  </r>
  <r>
    <n v="10"/>
    <s v="X10N"/>
    <x v="2"/>
    <n v="800"/>
    <n v="23000"/>
    <n v="1840000"/>
    <n v="165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3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3:C27" firstHeaderRow="0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lượng" fld="3" baseField="0" baseItem="0"/>
    <dataField name="Sum of Thành tiền" fld="6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4" workbookViewId="0">
      <selection activeCell="D23" sqref="D23"/>
    </sheetView>
  </sheetViews>
  <sheetFormatPr defaultRowHeight="15.75" x14ac:dyDescent="0.25"/>
  <cols>
    <col min="1" max="1" width="13.140625" style="1" customWidth="1"/>
    <col min="2" max="2" width="15.85546875" style="1" customWidth="1"/>
    <col min="3" max="3" width="17.28515625" style="1" customWidth="1"/>
    <col min="4" max="4" width="17.28515625" style="1" bestFit="1" customWidth="1"/>
    <col min="5" max="5" width="9.140625" style="1"/>
    <col min="6" max="6" width="12" style="1" customWidth="1"/>
    <col min="7" max="7" width="12.42578125" style="1" customWidth="1"/>
    <col min="8" max="16384" width="9.140625" style="1"/>
  </cols>
  <sheetData>
    <row r="1" spans="1:7" x14ac:dyDescent="0.25">
      <c r="A1" s="1" t="s">
        <v>0</v>
      </c>
    </row>
    <row r="2" spans="1:7" x14ac:dyDescent="0.25">
      <c r="A2" s="3" t="s">
        <v>1</v>
      </c>
      <c r="B2" s="3" t="s">
        <v>2</v>
      </c>
      <c r="C2" s="3" t="s">
        <v>3</v>
      </c>
    </row>
    <row r="3" spans="1:7" x14ac:dyDescent="0.25">
      <c r="A3" s="2" t="s">
        <v>4</v>
      </c>
      <c r="B3" s="2" t="s">
        <v>7</v>
      </c>
      <c r="C3" s="2">
        <v>23000</v>
      </c>
    </row>
    <row r="4" spans="1:7" x14ac:dyDescent="0.25">
      <c r="A4" s="2" t="s">
        <v>5</v>
      </c>
      <c r="B4" s="2" t="s">
        <v>8</v>
      </c>
      <c r="C4" s="2">
        <v>20000</v>
      </c>
    </row>
    <row r="5" spans="1:7" x14ac:dyDescent="0.25">
      <c r="A5" s="2" t="s">
        <v>6</v>
      </c>
      <c r="B5" s="2" t="s">
        <v>9</v>
      </c>
      <c r="C5" s="2">
        <v>50000</v>
      </c>
    </row>
    <row r="7" spans="1:7" x14ac:dyDescent="0.25">
      <c r="A7" s="1" t="s">
        <v>10</v>
      </c>
    </row>
    <row r="8" spans="1:7" x14ac:dyDescent="0.25">
      <c r="A8" s="3" t="s">
        <v>11</v>
      </c>
      <c r="B8" s="3" t="s">
        <v>12</v>
      </c>
      <c r="C8" s="3" t="s">
        <v>2</v>
      </c>
      <c r="D8" s="3" t="s">
        <v>23</v>
      </c>
      <c r="E8" s="3" t="s">
        <v>3</v>
      </c>
      <c r="F8" s="3" t="s">
        <v>24</v>
      </c>
      <c r="G8" s="3" t="s">
        <v>25</v>
      </c>
    </row>
    <row r="9" spans="1:7" x14ac:dyDescent="0.25">
      <c r="A9" s="2">
        <v>2</v>
      </c>
      <c r="B9" s="2" t="s">
        <v>15</v>
      </c>
      <c r="C9" s="2" t="str">
        <f>VLOOKUP(LEFT(B9,1),$A$3:$C$5,2,0)</f>
        <v>Dầu Diesel</v>
      </c>
      <c r="D9" s="2">
        <v>150</v>
      </c>
      <c r="E9" s="2">
        <f>VLOOKUP(LEFT(B9,1),$A$3:$C$5,3,0)</f>
        <v>20000</v>
      </c>
      <c r="F9" s="2">
        <f>IF(D9&gt;=100,D9*E9*0.1,0)</f>
        <v>300000</v>
      </c>
      <c r="G9" s="2">
        <f>D9*E9-F9</f>
        <v>2700000</v>
      </c>
    </row>
    <row r="10" spans="1:7" x14ac:dyDescent="0.25">
      <c r="A10" s="2">
        <v>5</v>
      </c>
      <c r="B10" s="2" t="s">
        <v>17</v>
      </c>
      <c r="C10" s="2" t="str">
        <f>VLOOKUP(LEFT(B10,1),$A$3:$C$5,2,0)</f>
        <v>Dầu Diesel</v>
      </c>
      <c r="D10" s="2">
        <v>600</v>
      </c>
      <c r="E10" s="2">
        <f>VLOOKUP(LEFT(B10,1),$A$3:$C$5,3,0)</f>
        <v>20000</v>
      </c>
      <c r="F10" s="2">
        <f>IF(D10&gt;=100,D10*E10*0.1,0)</f>
        <v>1200000</v>
      </c>
      <c r="G10" s="2">
        <f>D10*E10-F10</f>
        <v>10800000</v>
      </c>
    </row>
    <row r="11" spans="1:7" x14ac:dyDescent="0.25">
      <c r="A11" s="2">
        <v>8</v>
      </c>
      <c r="B11" s="2" t="s">
        <v>20</v>
      </c>
      <c r="C11" s="2" t="str">
        <f>VLOOKUP(LEFT(B11,1),$A$3:$C$5,2,0)</f>
        <v>Dầu Diesel</v>
      </c>
      <c r="D11" s="2">
        <v>300</v>
      </c>
      <c r="E11" s="2">
        <f>VLOOKUP(LEFT(B11,1),$A$3:$C$5,3,0)</f>
        <v>20000</v>
      </c>
      <c r="F11" s="2">
        <f>IF(D11&gt;=100,D11*E11*0.1,0)</f>
        <v>600000</v>
      </c>
      <c r="G11" s="2">
        <f>D11*E11-F11</f>
        <v>5400000</v>
      </c>
    </row>
    <row r="12" spans="1:7" x14ac:dyDescent="0.25">
      <c r="A12" s="2">
        <v>3</v>
      </c>
      <c r="B12" s="2" t="s">
        <v>16</v>
      </c>
      <c r="C12" s="2" t="str">
        <f>VLOOKUP(LEFT(B12,1),$A$3:$C$5,2,0)</f>
        <v>Nhớt</v>
      </c>
      <c r="D12" s="2">
        <v>100</v>
      </c>
      <c r="E12" s="2">
        <f>VLOOKUP(LEFT(B12,1),$A$3:$C$5,3,0)</f>
        <v>50000</v>
      </c>
      <c r="F12" s="2">
        <f>IF(D12&gt;=100,D12*E12*0.1,0)</f>
        <v>500000</v>
      </c>
      <c r="G12" s="2">
        <f>D12*E12-F12</f>
        <v>4500000</v>
      </c>
    </row>
    <row r="13" spans="1:7" x14ac:dyDescent="0.25">
      <c r="A13" s="2">
        <v>6</v>
      </c>
      <c r="B13" s="2" t="s">
        <v>18</v>
      </c>
      <c r="C13" s="2" t="str">
        <f>VLOOKUP(LEFT(B13,1),$A$3:$C$5,2,0)</f>
        <v>Nhớt</v>
      </c>
      <c r="D13" s="2">
        <v>250</v>
      </c>
      <c r="E13" s="2">
        <f>VLOOKUP(LEFT(B13,1),$A$3:$C$5,3,0)</f>
        <v>50000</v>
      </c>
      <c r="F13" s="2">
        <f>IF(D13&gt;=100,D13*E13*0.1,0)</f>
        <v>1250000</v>
      </c>
      <c r="G13" s="2">
        <f>D13*E13-F13</f>
        <v>11250000</v>
      </c>
    </row>
    <row r="14" spans="1:7" x14ac:dyDescent="0.25">
      <c r="A14" s="2">
        <v>7</v>
      </c>
      <c r="B14" s="2" t="s">
        <v>19</v>
      </c>
      <c r="C14" s="2" t="str">
        <f>VLOOKUP(LEFT(B14,1),$A$3:$C$5,2,0)</f>
        <v>Nhớt</v>
      </c>
      <c r="D14" s="2">
        <v>400</v>
      </c>
      <c r="E14" s="2">
        <f>VLOOKUP(LEFT(B14,1),$A$3:$C$5,3,0)</f>
        <v>50000</v>
      </c>
      <c r="F14" s="2">
        <f>IF(D14&gt;=100,D14*E14*0.1,0)</f>
        <v>2000000</v>
      </c>
      <c r="G14" s="2">
        <f>D14*E14-F14</f>
        <v>18000000</v>
      </c>
    </row>
    <row r="15" spans="1:7" x14ac:dyDescent="0.25">
      <c r="A15" s="2">
        <v>9</v>
      </c>
      <c r="B15" s="2" t="s">
        <v>21</v>
      </c>
      <c r="C15" s="2" t="str">
        <f>VLOOKUP(LEFT(B15,1),$A$3:$C$5,2,0)</f>
        <v>Nhớt</v>
      </c>
      <c r="D15" s="2">
        <v>30</v>
      </c>
      <c r="E15" s="2">
        <f>VLOOKUP(LEFT(B15,1),$A$3:$C$5,3,0)</f>
        <v>50000</v>
      </c>
      <c r="F15" s="2">
        <f>IF(D15&gt;=100,D15*E15*0.1,0)</f>
        <v>0</v>
      </c>
      <c r="G15" s="2">
        <f>D15*E15-F15</f>
        <v>1500000</v>
      </c>
    </row>
    <row r="16" spans="1:7" x14ac:dyDescent="0.25">
      <c r="A16" s="2">
        <v>1</v>
      </c>
      <c r="B16" s="2" t="s">
        <v>13</v>
      </c>
      <c r="C16" s="2" t="str">
        <f>VLOOKUP(LEFT(B16,1),$A$3:$C$5,2,0)</f>
        <v>Xăng A92</v>
      </c>
      <c r="D16" s="2">
        <v>50</v>
      </c>
      <c r="E16" s="2">
        <f>VLOOKUP(LEFT(B16,1),$A$3:$C$5,3,0)</f>
        <v>23000</v>
      </c>
      <c r="F16" s="2">
        <f>IF(D16&gt;=100,D16*E16*0.1,0)</f>
        <v>0</v>
      </c>
      <c r="G16" s="2">
        <f>D16*E16-F16</f>
        <v>1150000</v>
      </c>
    </row>
    <row r="17" spans="1:7" x14ac:dyDescent="0.25">
      <c r="A17" s="2">
        <v>4</v>
      </c>
      <c r="B17" s="2" t="s">
        <v>14</v>
      </c>
      <c r="C17" s="2" t="str">
        <f>VLOOKUP(LEFT(B17,1),$A$3:$C$5,2,0)</f>
        <v>Xăng A92</v>
      </c>
      <c r="D17" s="2">
        <v>500</v>
      </c>
      <c r="E17" s="2">
        <f>VLOOKUP(LEFT(B17,1),$A$3:$C$5,3,0)</f>
        <v>23000</v>
      </c>
      <c r="F17" s="2">
        <f>IF(D17&gt;=100,D17*E17*0.1,0)</f>
        <v>1150000</v>
      </c>
      <c r="G17" s="2">
        <f>D17*E17-F17</f>
        <v>10350000</v>
      </c>
    </row>
    <row r="18" spans="1:7" x14ac:dyDescent="0.25">
      <c r="A18" s="2">
        <v>10</v>
      </c>
      <c r="B18" s="2" t="s">
        <v>22</v>
      </c>
      <c r="C18" s="2" t="str">
        <f>VLOOKUP(LEFT(B18,1),$A$3:$C$5,2,0)</f>
        <v>Xăng A92</v>
      </c>
      <c r="D18" s="2">
        <v>800</v>
      </c>
      <c r="E18" s="2">
        <f>VLOOKUP(LEFT(B18,1),$A$3:$C$5,3,0)</f>
        <v>23000</v>
      </c>
      <c r="F18" s="2">
        <f>IF(D18&gt;=100,D18*E18*0.1,0)</f>
        <v>1840000</v>
      </c>
      <c r="G18" s="2">
        <f>D18*E18-F18</f>
        <v>16560000</v>
      </c>
    </row>
    <row r="23" spans="1:7" x14ac:dyDescent="0.25">
      <c r="A23" s="8" t="s">
        <v>28</v>
      </c>
      <c r="B23" t="s">
        <v>26</v>
      </c>
      <c r="C23" t="s">
        <v>27</v>
      </c>
      <c r="D23"/>
    </row>
    <row r="24" spans="1:7" x14ac:dyDescent="0.25">
      <c r="A24" s="9" t="s">
        <v>8</v>
      </c>
      <c r="B24" s="10">
        <v>1050</v>
      </c>
      <c r="C24" s="10">
        <v>18900000</v>
      </c>
      <c r="D24"/>
    </row>
    <row r="25" spans="1:7" x14ac:dyDescent="0.25">
      <c r="A25" s="9" t="s">
        <v>9</v>
      </c>
      <c r="B25" s="10">
        <v>780</v>
      </c>
      <c r="C25" s="10">
        <v>35250000</v>
      </c>
      <c r="D25"/>
    </row>
    <row r="26" spans="1:7" x14ac:dyDescent="0.25">
      <c r="A26" s="9" t="s">
        <v>7</v>
      </c>
      <c r="B26" s="10">
        <v>1350</v>
      </c>
      <c r="C26" s="10">
        <v>28060000</v>
      </c>
      <c r="D26"/>
    </row>
    <row r="27" spans="1:7" x14ac:dyDescent="0.25">
      <c r="A27" s="9" t="s">
        <v>29</v>
      </c>
      <c r="B27" s="10">
        <v>3180</v>
      </c>
      <c r="C27" s="10">
        <v>82210000</v>
      </c>
      <c r="D27"/>
    </row>
    <row r="28" spans="1:7" x14ac:dyDescent="0.25">
      <c r="A28"/>
      <c r="B28"/>
      <c r="C28"/>
    </row>
    <row r="29" spans="1:7" x14ac:dyDescent="0.25">
      <c r="A29"/>
      <c r="B29"/>
      <c r="C29"/>
    </row>
    <row r="30" spans="1:7" x14ac:dyDescent="0.25">
      <c r="A30"/>
      <c r="B30"/>
      <c r="C30"/>
    </row>
    <row r="31" spans="1:7" x14ac:dyDescent="0.25">
      <c r="A31"/>
      <c r="B31"/>
      <c r="C31"/>
    </row>
    <row r="32" spans="1:7" x14ac:dyDescent="0.25">
      <c r="A32"/>
      <c r="B32"/>
      <c r="C32"/>
    </row>
    <row r="33" spans="1:3" x14ac:dyDescent="0.25">
      <c r="A33"/>
      <c r="B33"/>
      <c r="C33"/>
    </row>
    <row r="34" spans="1:3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/>
      <c r="B36"/>
      <c r="C36"/>
    </row>
    <row r="37" spans="1:3" x14ac:dyDescent="0.25">
      <c r="A37"/>
      <c r="B37"/>
      <c r="C37"/>
    </row>
    <row r="38" spans="1:3" x14ac:dyDescent="0.25">
      <c r="A38"/>
      <c r="B38"/>
      <c r="C38"/>
    </row>
    <row r="39" spans="1:3" x14ac:dyDescent="0.25">
      <c r="A39"/>
      <c r="B39"/>
      <c r="C39"/>
    </row>
    <row r="40" spans="1:3" x14ac:dyDescent="0.25">
      <c r="A40"/>
      <c r="B40"/>
      <c r="C40"/>
    </row>
  </sheetData>
  <sortState ref="A9:G18">
    <sortCondition ref="C9"/>
  </sortState>
  <conditionalFormatting sqref="A9:G18">
    <cfRule type="cellIs" dxfId="39" priority="2" operator="between">
      <formula>400</formula>
      <formula>800</formula>
    </cfRule>
  </conditionalFormatting>
  <conditionalFormatting sqref="A8:G18">
    <cfRule type="cellIs" dxfId="38" priority="1" operator="between">
      <formula>400</formula>
      <formula>18000</formula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G6" sqref="G6:G8"/>
    </sheetView>
  </sheetViews>
  <sheetFormatPr defaultRowHeight="15.75" x14ac:dyDescent="0.25"/>
  <cols>
    <col min="1" max="1" width="14" style="1" customWidth="1"/>
    <col min="2" max="2" width="17" style="1" customWidth="1"/>
    <col min="3" max="3" width="17.5703125" style="1" customWidth="1"/>
    <col min="4" max="5" width="9.140625" style="1"/>
    <col min="6" max="6" width="13" style="1" customWidth="1"/>
    <col min="7" max="7" width="16.5703125" style="1" customWidth="1"/>
    <col min="8" max="16384" width="9.140625" style="1"/>
  </cols>
  <sheetData>
    <row r="1" spans="1:7" x14ac:dyDescent="0.25">
      <c r="A1" s="3" t="s">
        <v>1</v>
      </c>
      <c r="B1" s="3" t="s">
        <v>2</v>
      </c>
      <c r="C1" s="3" t="s">
        <v>3</v>
      </c>
    </row>
    <row r="2" spans="1:7" x14ac:dyDescent="0.25">
      <c r="A2" s="2" t="s">
        <v>4</v>
      </c>
      <c r="B2" s="2" t="s">
        <v>7</v>
      </c>
      <c r="C2" s="2">
        <v>23000</v>
      </c>
    </row>
    <row r="3" spans="1:7" x14ac:dyDescent="0.25">
      <c r="A3" s="2" t="s">
        <v>5</v>
      </c>
      <c r="B3" s="2" t="s">
        <v>8</v>
      </c>
      <c r="C3" s="2">
        <v>20000</v>
      </c>
    </row>
    <row r="4" spans="1:7" x14ac:dyDescent="0.25">
      <c r="A4" s="2" t="s">
        <v>6</v>
      </c>
      <c r="B4" s="2" t="s">
        <v>9</v>
      </c>
      <c r="C4" s="2">
        <v>50000</v>
      </c>
    </row>
    <row r="6" spans="1:7" x14ac:dyDescent="0.25">
      <c r="A6" s="2" t="s">
        <v>13</v>
      </c>
      <c r="B6" s="2" t="str">
        <f>VLOOKUP(LEFT(A6,1),$A$2:$C$4,2,0)</f>
        <v>Xăng A92</v>
      </c>
      <c r="C6" s="2">
        <v>50</v>
      </c>
      <c r="D6" s="2">
        <f>VLOOKUP(LEFT(A6,1),$A$2:$C$4,3,0)</f>
        <v>23000</v>
      </c>
      <c r="E6" s="2">
        <f>IF(C6&gt;=100,C6*D6*0.1,0)</f>
        <v>0</v>
      </c>
      <c r="F6" s="2">
        <f>C6*D6-E6</f>
        <v>1150000</v>
      </c>
      <c r="G6" s="2">
        <f>C6*D6-E6</f>
        <v>1150000</v>
      </c>
    </row>
    <row r="7" spans="1:7" x14ac:dyDescent="0.25">
      <c r="A7" s="2" t="s">
        <v>14</v>
      </c>
      <c r="B7" s="2" t="str">
        <f t="shared" ref="B7:B8" si="0">VLOOKUP(LEFT(A7,1),$A$2:$C$4,2,0)</f>
        <v>Xăng A92</v>
      </c>
      <c r="C7" s="2">
        <v>500</v>
      </c>
      <c r="D7" s="2">
        <f t="shared" ref="D7:D8" si="1">VLOOKUP(LEFT(A7,1),$A$2:$C$4,3,0)</f>
        <v>23000</v>
      </c>
      <c r="E7" s="2">
        <f>IF(C7&gt;=100,C7*D7*0.1,0)</f>
        <v>1150000</v>
      </c>
      <c r="F7" s="2">
        <f>C7*D7-E7</f>
        <v>10350000</v>
      </c>
      <c r="G7" s="2">
        <f t="shared" ref="G7:G8" si="2">C7*D7-E7</f>
        <v>10350000</v>
      </c>
    </row>
    <row r="8" spans="1:7" x14ac:dyDescent="0.25">
      <c r="A8" s="2" t="s">
        <v>22</v>
      </c>
      <c r="B8" s="2" t="str">
        <f t="shared" si="0"/>
        <v>Xăng A92</v>
      </c>
      <c r="C8" s="2">
        <v>800</v>
      </c>
      <c r="D8" s="2">
        <f t="shared" si="1"/>
        <v>23000</v>
      </c>
      <c r="E8" s="2">
        <f>IF(C8&gt;=100,C8*D8*0.1,0)</f>
        <v>1840000</v>
      </c>
      <c r="F8" s="2">
        <f>C8*D8-E8</f>
        <v>16560000</v>
      </c>
      <c r="G8" s="2">
        <f t="shared" si="2"/>
        <v>16560000</v>
      </c>
    </row>
  </sheetData>
  <conditionalFormatting sqref="A6:F8">
    <cfRule type="cellIs" dxfId="36" priority="1" operator="between">
      <formula>400</formula>
      <formula>18000</formula>
    </cfRule>
  </conditionalFormatting>
  <conditionalFormatting sqref="G6:G8">
    <cfRule type="cellIs" dxfId="17" priority="4" operator="between">
      <formula>400</formula>
      <formula>800</formula>
    </cfRule>
  </conditionalFormatting>
  <conditionalFormatting sqref="G6:G8">
    <cfRule type="cellIs" dxfId="16" priority="3" operator="between">
      <formula>400</formula>
      <formula>18000</formula>
    </cfRule>
  </conditionalFormatting>
  <conditionalFormatting sqref="A6:F8">
    <cfRule type="cellIs" dxfId="11" priority="2" operator="between">
      <formula>400</formula>
      <formula>800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9" sqref="A9:A11"/>
    </sheetView>
  </sheetViews>
  <sheetFormatPr defaultRowHeight="15" x14ac:dyDescent="0.25"/>
  <cols>
    <col min="1" max="1" width="16" customWidth="1"/>
    <col min="2" max="2" width="18.5703125" customWidth="1"/>
    <col min="3" max="3" width="14.85546875" customWidth="1"/>
    <col min="5" max="5" width="11.140625" customWidth="1"/>
    <col min="6" max="6" width="12.42578125" customWidth="1"/>
    <col min="7" max="7" width="14.85546875" customWidth="1"/>
  </cols>
  <sheetData>
    <row r="1" spans="1:7" ht="15.75" x14ac:dyDescent="0.25">
      <c r="A1" s="5"/>
      <c r="B1" s="5"/>
      <c r="C1" s="5"/>
    </row>
    <row r="2" spans="1:7" ht="15.75" x14ac:dyDescent="0.25">
      <c r="A2" s="4" t="s">
        <v>1</v>
      </c>
      <c r="B2" s="4" t="s">
        <v>2</v>
      </c>
      <c r="C2" s="4" t="s">
        <v>3</v>
      </c>
    </row>
    <row r="3" spans="1:7" ht="15.75" x14ac:dyDescent="0.25">
      <c r="A3" s="2" t="s">
        <v>4</v>
      </c>
      <c r="B3" s="2" t="s">
        <v>7</v>
      </c>
      <c r="C3" s="2">
        <v>23000</v>
      </c>
    </row>
    <row r="4" spans="1:7" ht="15.75" x14ac:dyDescent="0.25">
      <c r="A4" s="2" t="s">
        <v>5</v>
      </c>
      <c r="B4" s="2" t="s">
        <v>8</v>
      </c>
      <c r="C4" s="2">
        <v>20000</v>
      </c>
    </row>
    <row r="5" spans="1:7" ht="15.75" x14ac:dyDescent="0.25">
      <c r="A5" s="2" t="s">
        <v>6</v>
      </c>
      <c r="B5" s="2" t="s">
        <v>9</v>
      </c>
      <c r="C5" s="2">
        <v>50000</v>
      </c>
    </row>
    <row r="7" spans="1:7" ht="15.75" x14ac:dyDescent="0.25">
      <c r="A7" s="6"/>
      <c r="B7" s="6"/>
      <c r="C7" s="6"/>
      <c r="D7" s="6"/>
      <c r="E7" s="6"/>
      <c r="F7" s="6"/>
      <c r="G7" s="6"/>
    </row>
    <row r="8" spans="1:7" ht="15.75" x14ac:dyDescent="0.25">
      <c r="A8" s="6"/>
      <c r="B8" s="6"/>
      <c r="C8" s="6"/>
      <c r="D8" s="6"/>
      <c r="E8" s="6"/>
      <c r="F8" s="6"/>
      <c r="G8" s="6"/>
    </row>
    <row r="9" spans="1:7" ht="15.75" x14ac:dyDescent="0.25">
      <c r="A9" s="2">
        <v>2</v>
      </c>
      <c r="B9" s="2" t="s">
        <v>15</v>
      </c>
      <c r="C9" s="2" t="str">
        <f>VLOOKUP(LEFT(B9,1),$A$3:$C$5,2,0)</f>
        <v>Dầu Diesel</v>
      </c>
      <c r="D9" s="2">
        <v>150</v>
      </c>
      <c r="E9" s="2">
        <f>VLOOKUP(LEFT(B9,1),$A$3:$C$5,3,0)</f>
        <v>20000</v>
      </c>
      <c r="F9" s="2">
        <f>IF(D9&gt;=100,D9*E9*0.1,0)</f>
        <v>300000</v>
      </c>
      <c r="G9" s="2">
        <f>D9*E9-F9</f>
        <v>2700000</v>
      </c>
    </row>
    <row r="10" spans="1:7" ht="15.75" x14ac:dyDescent="0.25">
      <c r="A10" s="2">
        <v>5</v>
      </c>
      <c r="B10" s="2" t="s">
        <v>17</v>
      </c>
      <c r="C10" s="2" t="str">
        <f>VLOOKUP(LEFT(B10,1),$A$3:$C$5,2,0)</f>
        <v>Dầu Diesel</v>
      </c>
      <c r="D10" s="2">
        <v>600</v>
      </c>
      <c r="E10" s="2">
        <f>VLOOKUP(LEFT(B10,1),$A$3:$C$5,3,0)</f>
        <v>20000</v>
      </c>
      <c r="F10" s="2">
        <f>IF(D10&gt;=100,D10*E10*0.1,0)</f>
        <v>1200000</v>
      </c>
      <c r="G10" s="2">
        <f>D10*E10-F10</f>
        <v>10800000</v>
      </c>
    </row>
    <row r="11" spans="1:7" ht="15.75" x14ac:dyDescent="0.25">
      <c r="A11" s="2">
        <v>8</v>
      </c>
      <c r="B11" s="2" t="s">
        <v>20</v>
      </c>
      <c r="C11" s="2" t="str">
        <f>VLOOKUP(LEFT(B11,1),$A$3:$C$5,2,0)</f>
        <v>Dầu Diesel</v>
      </c>
      <c r="D11" s="2">
        <v>300</v>
      </c>
      <c r="E11" s="2">
        <f>VLOOKUP(LEFT(B11,1),$A$3:$C$5,3,0)</f>
        <v>20000</v>
      </c>
      <c r="F11" s="2">
        <f>IF(D11&gt;=100,D11*E11*0.1,0)</f>
        <v>600000</v>
      </c>
      <c r="G11" s="2">
        <f>D11*E11-F11</f>
        <v>5400000</v>
      </c>
    </row>
  </sheetData>
  <conditionalFormatting sqref="A7:G8">
    <cfRule type="cellIs" dxfId="9" priority="4" operator="between">
      <formula>400</formula>
      <formula>800</formula>
    </cfRule>
  </conditionalFormatting>
  <conditionalFormatting sqref="A7:G8">
    <cfRule type="cellIs" dxfId="8" priority="3" operator="between">
      <formula>400</formula>
      <formula>18000</formula>
    </cfRule>
  </conditionalFormatting>
  <conditionalFormatting sqref="A9:G11">
    <cfRule type="cellIs" dxfId="7" priority="2" operator="between">
      <formula>400</formula>
      <formula>800</formula>
    </cfRule>
  </conditionalFormatting>
  <conditionalFormatting sqref="A9:G11">
    <cfRule type="cellIs" dxfId="6" priority="1" operator="between">
      <formula>400</formula>
      <formula>18000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C10" sqref="C10"/>
    </sheetView>
  </sheetViews>
  <sheetFormatPr defaultRowHeight="15" x14ac:dyDescent="0.25"/>
  <cols>
    <col min="1" max="1" width="14.85546875" customWidth="1"/>
    <col min="2" max="2" width="15.28515625" customWidth="1"/>
    <col min="3" max="3" width="16.85546875" customWidth="1"/>
    <col min="6" max="6" width="14.28515625" customWidth="1"/>
  </cols>
  <sheetData>
    <row r="1" spans="1:6" ht="15.75" x14ac:dyDescent="0.25">
      <c r="A1" s="5"/>
      <c r="B1" s="5"/>
      <c r="C1" s="5"/>
    </row>
    <row r="2" spans="1:6" ht="15.75" x14ac:dyDescent="0.25">
      <c r="A2" s="3" t="s">
        <v>1</v>
      </c>
      <c r="B2" s="3" t="s">
        <v>2</v>
      </c>
      <c r="C2" s="3" t="s">
        <v>3</v>
      </c>
    </row>
    <row r="3" spans="1:6" ht="15.75" x14ac:dyDescent="0.25">
      <c r="A3" s="2" t="s">
        <v>4</v>
      </c>
      <c r="B3" s="2" t="s">
        <v>7</v>
      </c>
      <c r="C3" s="2">
        <v>23000</v>
      </c>
    </row>
    <row r="4" spans="1:6" ht="15.75" x14ac:dyDescent="0.25">
      <c r="A4" s="2" t="s">
        <v>5</v>
      </c>
      <c r="B4" s="2" t="s">
        <v>8</v>
      </c>
      <c r="C4" s="2">
        <v>20000</v>
      </c>
    </row>
    <row r="5" spans="1:6" ht="15.75" x14ac:dyDescent="0.25">
      <c r="A5" s="7" t="s">
        <v>6</v>
      </c>
      <c r="B5" s="7" t="s">
        <v>9</v>
      </c>
      <c r="C5" s="7">
        <v>50000</v>
      </c>
    </row>
    <row r="6" spans="1:6" ht="15.75" x14ac:dyDescent="0.25">
      <c r="A6" s="6"/>
      <c r="B6" s="6"/>
      <c r="C6" s="6"/>
      <c r="D6" s="6"/>
      <c r="E6" s="6"/>
      <c r="F6" s="6"/>
    </row>
    <row r="7" spans="1:6" ht="15.75" x14ac:dyDescent="0.25">
      <c r="A7" s="6"/>
      <c r="B7" s="6"/>
      <c r="C7" s="6"/>
      <c r="D7" s="6"/>
      <c r="E7" s="6"/>
      <c r="F7" s="6"/>
    </row>
    <row r="8" spans="1:6" ht="15.75" x14ac:dyDescent="0.25">
      <c r="A8" s="6"/>
      <c r="B8" s="6"/>
      <c r="C8" s="6"/>
      <c r="D8" s="6"/>
      <c r="E8" s="6"/>
      <c r="F8" s="6"/>
    </row>
    <row r="9" spans="1:6" ht="15.75" x14ac:dyDescent="0.25">
      <c r="A9" s="6"/>
      <c r="B9" s="6"/>
      <c r="C9" s="6"/>
      <c r="D9" s="6"/>
      <c r="E9" s="6"/>
      <c r="F9" s="6"/>
    </row>
    <row r="12" spans="1:6" ht="15.75" x14ac:dyDescent="0.25">
      <c r="A12" s="2" t="s">
        <v>16</v>
      </c>
      <c r="B12" s="2" t="str">
        <f>VLOOKUP(LEFT(A12,1),$A$3:$C$5,2,0)</f>
        <v>Nhớt</v>
      </c>
      <c r="C12" s="2">
        <v>100</v>
      </c>
      <c r="D12" s="2">
        <f>VLOOKUP(LEFT(A12,1),$A$3:$C$5,3,0)</f>
        <v>50000</v>
      </c>
      <c r="E12" s="2">
        <f>IF(C12&gt;=100,C12*D12*0.1,0)</f>
        <v>500000</v>
      </c>
      <c r="F12" s="2">
        <f>C12*D12-E12</f>
        <v>4500000</v>
      </c>
    </row>
    <row r="13" spans="1:6" ht="15.75" x14ac:dyDescent="0.25">
      <c r="A13" s="2" t="s">
        <v>18</v>
      </c>
      <c r="B13" s="2" t="str">
        <f>VLOOKUP(LEFT(A13,1),$A$3:$C$5,2,0)</f>
        <v>Nhớt</v>
      </c>
      <c r="C13" s="2">
        <v>250</v>
      </c>
      <c r="D13" s="2">
        <f>VLOOKUP(LEFT(A13,1),$A$3:$C$5,3,0)</f>
        <v>50000</v>
      </c>
      <c r="E13" s="2">
        <f>IF(C13&gt;=100,C13*D13*0.1,0)</f>
        <v>1250000</v>
      </c>
      <c r="F13" s="2">
        <f>C13*D13-E13</f>
        <v>11250000</v>
      </c>
    </row>
    <row r="14" spans="1:6" ht="15.75" x14ac:dyDescent="0.25">
      <c r="A14" s="2" t="s">
        <v>19</v>
      </c>
      <c r="B14" s="2" t="str">
        <f>VLOOKUP(LEFT(A14,1),$A$3:$C$5,2,0)</f>
        <v>Nhớt</v>
      </c>
      <c r="C14" s="2">
        <v>400</v>
      </c>
      <c r="D14" s="2">
        <f>VLOOKUP(LEFT(A14,1),$A$3:$C$5,3,0)</f>
        <v>50000</v>
      </c>
      <c r="E14" s="2">
        <f>IF(C14&gt;=100,C14*D14*0.1,0)</f>
        <v>2000000</v>
      </c>
      <c r="F14" s="2">
        <f>C14*D14-E14</f>
        <v>18000000</v>
      </c>
    </row>
    <row r="15" spans="1:6" ht="15.75" x14ac:dyDescent="0.25">
      <c r="A15" s="2" t="s">
        <v>21</v>
      </c>
      <c r="B15" s="2" t="str">
        <f>VLOOKUP(LEFT(A15,1),$A$3:$C$5,2,0)</f>
        <v>Nhớt</v>
      </c>
      <c r="C15" s="2">
        <v>30</v>
      </c>
      <c r="D15" s="2">
        <f>VLOOKUP(LEFT(A15,1),$A$3:$C$5,3,0)</f>
        <v>50000</v>
      </c>
      <c r="E15" s="2">
        <f>IF(C15&gt;=100,C15*D15*0.1,0)</f>
        <v>0</v>
      </c>
      <c r="F15" s="2">
        <f>C15*D15-E15</f>
        <v>1500000</v>
      </c>
    </row>
  </sheetData>
  <conditionalFormatting sqref="A12:F15">
    <cfRule type="cellIs" dxfId="4" priority="1" operator="between">
      <formula>400</formula>
      <formula>18000</formula>
    </cfRule>
  </conditionalFormatting>
  <conditionalFormatting sqref="A6:F9">
    <cfRule type="cellIs" dxfId="3" priority="4" operator="between">
      <formula>400</formula>
      <formula>800</formula>
    </cfRule>
  </conditionalFormatting>
  <conditionalFormatting sqref="A6:F9">
    <cfRule type="cellIs" dxfId="2" priority="3" operator="between">
      <formula>400</formula>
      <formula>18000</formula>
    </cfRule>
  </conditionalFormatting>
  <conditionalFormatting sqref="A12:F15">
    <cfRule type="cellIs" dxfId="1" priority="2" operator="between">
      <formula>400</formula>
      <formula>800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chính</vt:lpstr>
      <vt:lpstr>xăng a92</vt:lpstr>
      <vt:lpstr>dầu diesel</vt:lpstr>
      <vt:lpstr>nhớt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MAY84</dc:creator>
  <cp:lastModifiedBy>MAY84</cp:lastModifiedBy>
  <dcterms:created xsi:type="dcterms:W3CDTF">2024-11-21T17:00:22Z</dcterms:created>
  <dcterms:modified xsi:type="dcterms:W3CDTF">2024-11-21T18:45:14Z</dcterms:modified>
</cp:coreProperties>
</file>