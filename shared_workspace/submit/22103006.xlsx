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"/>
    </mc:Choice>
  </mc:AlternateContent>
  <bookViews>
    <workbookView xWindow="0" yWindow="0" windowWidth="20085" windowHeight="9510" activeTab="1"/>
  </bookViews>
  <sheets>
    <sheet name="Sheet2" sheetId="4" r:id="rId1"/>
    <sheet name="Sheet1" sheetId="1" r:id="rId2"/>
  </sheets>
  <calcPr calcId="162913"/>
  <pivotCaches>
    <pivotCache cacheId="1" r:id="rId3"/>
  </pivotCaches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18" i="1" l="1"/>
  <c r="E9" i="1"/>
  <c r="F9" i="1" s="1"/>
  <c r="E12" i="1"/>
  <c r="F12" i="1" s="1"/>
  <c r="E17" i="1"/>
  <c r="F17" i="1" s="1"/>
  <c r="E10" i="1"/>
  <c r="F10" i="1" s="1"/>
  <c r="E13" i="1"/>
  <c r="F13" i="1" s="1"/>
  <c r="E14" i="1"/>
  <c r="F14" i="1" s="1"/>
  <c r="E11" i="1"/>
  <c r="F11" i="1" s="1"/>
  <c r="E15" i="1"/>
  <c r="E18" i="1"/>
  <c r="F18" i="1" s="1"/>
  <c r="E16" i="1"/>
  <c r="G16" i="1" s="1"/>
  <c r="F15" i="1"/>
  <c r="C16" i="1"/>
  <c r="F16" i="1"/>
  <c r="C9" i="1"/>
  <c r="C12" i="1"/>
  <c r="C17" i="1"/>
  <c r="C10" i="1"/>
  <c r="C13" i="1"/>
  <c r="C14" i="1"/>
  <c r="C11" i="1"/>
  <c r="C15" i="1"/>
  <c r="C18" i="1"/>
  <c r="G15" i="1" l="1"/>
  <c r="G11" i="1"/>
  <c r="G13" i="1"/>
  <c r="G10" i="1"/>
  <c r="G17" i="1"/>
  <c r="G14" i="1"/>
  <c r="G12" i="1"/>
  <c r="G9" i="1"/>
</calcChain>
</file>

<file path=xl/sharedStrings.xml><?xml version="1.0" encoding="utf-8"?>
<sst xmlns="http://schemas.openxmlformats.org/spreadsheetml/2006/main" count="35" uniqueCount="30">
  <si>
    <t>BẢNG GIÁ</t>
  </si>
  <si>
    <t>Mã vật tư</t>
  </si>
  <si>
    <t>Tên vật tư</t>
  </si>
  <si>
    <t>Đơn giá</t>
  </si>
  <si>
    <t>X</t>
  </si>
  <si>
    <t>D</t>
  </si>
  <si>
    <t>N</t>
  </si>
  <si>
    <t>Xăng A92</t>
  </si>
  <si>
    <t>Dầu Diesel</t>
  </si>
  <si>
    <t>Nhớt</t>
  </si>
  <si>
    <t>CHI TIẾT NHẬP XUẤT XĂNG DẦU</t>
  </si>
  <si>
    <t>STT</t>
  </si>
  <si>
    <t>Số chứng từ</t>
  </si>
  <si>
    <t>X01N</t>
  </si>
  <si>
    <t>X04N</t>
  </si>
  <si>
    <t>D02X</t>
  </si>
  <si>
    <t>N03X</t>
  </si>
  <si>
    <t>D05N</t>
  </si>
  <si>
    <t>N06X</t>
  </si>
  <si>
    <t>N07X</t>
  </si>
  <si>
    <t>D08X</t>
  </si>
  <si>
    <t>N09N</t>
  </si>
  <si>
    <t>X10N</t>
  </si>
  <si>
    <t>Số lượng</t>
  </si>
  <si>
    <t>Tiền giảm</t>
  </si>
  <si>
    <t>Thành tiền</t>
  </si>
  <si>
    <t>Row Labels</t>
  </si>
  <si>
    <t>Grand Total</t>
  </si>
  <si>
    <t>Sum of Số lượng</t>
  </si>
  <si>
    <t>Sum of Thành tiền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</si>
</sst>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999999"/>
      </left>
      <right/>
      <top style="thin">
        <color rgb="FF999999"/>
      </top>
      <bottom/>
      <diagonal/>
    </border>
    <border>
      <left style="thin">
        <color indexed="65"/>
      </left>
      <right/>
      <top style="thin">
        <color rgb="FF999999"/>
      </top>
      <bottom/>
      <diagonal/>
    </border>
    <border>
      <left style="thin">
        <color indexed="65"/>
      </left>
      <right style="thin">
        <color rgb="FF999999"/>
      </right>
      <top style="thin">
        <color rgb="FF999999"/>
      </top>
      <bottom/>
      <diagonal/>
    </border>
    <border>
      <left style="thin">
        <color rgb="FF999999"/>
      </left>
      <right/>
      <top style="thin">
        <color indexed="65"/>
      </top>
      <bottom/>
      <diagonal/>
    </border>
    <border>
      <left style="thin">
        <color indexed="65"/>
      </left>
      <right/>
      <top style="thin">
        <color indexed="65"/>
      </top>
      <bottom/>
      <diagonal/>
    </border>
    <border>
      <left style="thin">
        <color indexed="65"/>
      </left>
      <right style="thin">
        <color rgb="FF999999"/>
      </right>
      <top style="thin">
        <color indexed="65"/>
      </top>
      <bottom/>
      <diagonal/>
    </border>
    <border>
      <left style="thin">
        <color rgb="FF999999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/>
      <top style="thin">
        <color indexed="65"/>
      </top>
      <bottom style="thin">
        <color rgb="FF999999"/>
      </bottom>
      <diagonal/>
    </border>
    <border>
      <left style="thin">
        <color indexed="65"/>
      </left>
      <right style="thin">
        <color rgb="FF999999"/>
      </right>
      <top style="thin">
        <color indexed="65"/>
      </top>
      <bottom style="thin">
        <color rgb="FF999999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1" xfId="0" applyBorder="1"/>
    <xf numFmtId="0" fontId="0" fillId="2" borderId="1" xfId="0" applyFill="1" applyBorder="1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0" xfId="0" applyNumberFormat="1"/>
    <xf numFmtId="0" fontId="0" fillId="0" borderId="0" xfId="0" applyBorder="1"/>
    <xf numFmtId="0" fontId="1" fillId="0" borderId="0" xfId="0" applyFont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[24307056.xlsx]Sheet1!PivotTable6</c:name>
    <c:fmtId val="0"/>
  </c:pivotSource>
  <c:chart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8980314960629921"/>
          <c:y val="0.10546077573636629"/>
          <c:w val="0.57174803149606301"/>
          <c:h val="0.65853091280256637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Sheet1!$M$9</c:f>
              <c:strCache>
                <c:ptCount val="1"/>
                <c:pt idx="0">
                  <c:v>Sum of Số lượng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Sheet1!$L$10:$L$13</c:f>
              <c:strCache>
                <c:ptCount val="3"/>
                <c:pt idx="0">
                  <c:v>Dầu Diesel</c:v>
                </c:pt>
                <c:pt idx="1">
                  <c:v>Nhớt</c:v>
                </c:pt>
                <c:pt idx="2">
                  <c:v>Xăng A92</c:v>
                </c:pt>
              </c:strCache>
            </c:strRef>
          </c:cat>
          <c:val>
            <c:numRef>
              <c:f>Sheet1!$M$10:$M$13</c:f>
              <c:numCache>
                <c:formatCode>General</c:formatCode>
                <c:ptCount val="3"/>
                <c:pt idx="0">
                  <c:v>1050</c:v>
                </c:pt>
                <c:pt idx="1">
                  <c:v>780</c:v>
                </c:pt>
                <c:pt idx="2">
                  <c:v>1350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7C2-4DB4-B084-01C725F749BF}"/>
            </c:ext>
          </c:extLst>
        </c:ser>
        <c:ser>
          <c:idx val="1"/>
          <c:order val="1"/>
          <c:tx>
            <c:strRef>
              <c:f>Sheet1!$N$9</c:f>
              <c:strCache>
                <c:ptCount val="1"/>
                <c:pt idx="0">
                  <c:v>Sum of Thành tiền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Sheet1!$L$10:$L$13</c:f>
              <c:strCache>
                <c:ptCount val="3"/>
                <c:pt idx="0">
                  <c:v>Dầu Diesel</c:v>
                </c:pt>
                <c:pt idx="1">
                  <c:v>Nhớt</c:v>
                </c:pt>
                <c:pt idx="2">
                  <c:v>Xăng A92</c:v>
                </c:pt>
              </c:strCache>
            </c:strRef>
          </c:cat>
          <c:val>
            <c:numRef>
              <c:f>Sheet1!$N$10:$N$13</c:f>
              <c:numCache>
                <c:formatCode>General</c:formatCode>
                <c:ptCount val="3"/>
                <c:pt idx="0">
                  <c:v>18900000</c:v>
                </c:pt>
                <c:pt idx="1">
                  <c:v>35250000</c:v>
                </c:pt>
                <c:pt idx="2">
                  <c:v>28060000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7C2-4DB4-B084-01C725F749B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78472384"/>
        <c:axId val="1278469472"/>
      </c:barChart>
      <c:catAx>
        <c:axId val="1278472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469472"/>
        <c:crosses val="autoZero"/>
        <c:auto val="1"/>
        <c:lblAlgn val="ctr"/>
        <c:lblOffset val="100"/>
        <c:noMultiLvlLbl val="0"/>
      </c:catAx>
      <c:valAx>
        <c:axId val="127846947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8472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10</xdr:col>
      <xdr:colOff>776287</xdr:colOff>
      <xdr:row>14</xdr:row>
      <xdr:rowOff>0</xdr:rowOff>
    </xdr:from>
    <xdr:to>
      <xdr:col>14</xdr:col>
      <xdr:colOff>0</xdr:colOff>
      <xdr:row>23</xdr:row>
      <xdr:rowOff>19050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MAY79" refreshedDate="45618.039116898151" createdVersion="6" refreshedVersion="6" minRefreshableVersion="3" recordCount="10">
  <cacheSource type="worksheet">
    <worksheetSource ref="A8:G18" sheet="Sheet1"/>
  </cacheSource>
  <cacheFields count="7">
    <cacheField name="STT" numFmtId="0">
      <sharedItems containsSemiMixedTypes="0" containsString="0" containsNumber="1" containsInteger="1" minValue="1" maxValue="10"/>
    </cacheField>
    <cacheField name="Số chứng từ" numFmtId="0">
      <sharedItems/>
    </cacheField>
    <cacheField name="Tên vật tư" numFmtId="0">
      <sharedItems count="3">
        <s v="Dầu Diesel"/>
        <s v="Nhớt"/>
        <s v="Xăng A92"/>
      </sharedItems>
    </cacheField>
    <cacheField name="Số lượng" numFmtId="0">
      <sharedItems containsSemiMixedTypes="0" containsString="0" containsNumber="1" containsInteger="1" minValue="30" maxValue="800"/>
    </cacheField>
    <cacheField name="Đơn giá" numFmtId="0">
      <sharedItems containsSemiMixedTypes="0" containsString="0" containsNumber="1" containsInteger="1" minValue="20000" maxValue="50000"/>
    </cacheField>
    <cacheField name="Tiền giảm" numFmtId="0">
      <sharedItems containsSemiMixedTypes="0" containsString="0" containsNumber="1" containsInteger="1" minValue="0" maxValue="2000000"/>
    </cacheField>
    <cacheField name="Thành tiền" numFmtId="0">
      <sharedItems containsSemiMixedTypes="0" containsString="0" containsNumber="1" containsInteger="1" minValue="1150000" maxValue="180000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10">
  <r>
    <n v="1"/>
    <s v="D02X"/>
    <x v="0"/>
    <n v="150"/>
    <n v="20000"/>
    <n v="300000"/>
    <n v="2700000"/>
  </r>
  <r>
    <n v="2"/>
    <s v="D05N"/>
    <x v="0"/>
    <n v="600"/>
    <n v="20000"/>
    <n v="1200000"/>
    <n v="10800000"/>
  </r>
  <r>
    <n v="3"/>
    <s v="D08X"/>
    <x v="0"/>
    <n v="300"/>
    <n v="20000"/>
    <n v="600000"/>
    <n v="5400000"/>
  </r>
  <r>
    <n v="4"/>
    <s v="N03X"/>
    <x v="1"/>
    <n v="100"/>
    <n v="50000"/>
    <n v="500000"/>
    <n v="4500000"/>
  </r>
  <r>
    <n v="5"/>
    <s v="N06X"/>
    <x v="1"/>
    <n v="250"/>
    <n v="50000"/>
    <n v="1250000"/>
    <n v="11250000"/>
  </r>
  <r>
    <n v="6"/>
    <s v="N07X"/>
    <x v="1"/>
    <n v="400"/>
    <n v="50000"/>
    <n v="2000000"/>
    <n v="18000000"/>
  </r>
  <r>
    <n v="7"/>
    <s v="N09N"/>
    <x v="1"/>
    <n v="30"/>
    <n v="50000"/>
    <n v="0"/>
    <n v="1500000"/>
  </r>
  <r>
    <n v="8"/>
    <s v="X01N"/>
    <x v="2"/>
    <n v="50"/>
    <n v="23000"/>
    <n v="0"/>
    <n v="1150000"/>
  </r>
  <r>
    <n v="9"/>
    <s v="X04N"/>
    <x v="2"/>
    <n v="500"/>
    <n v="23000"/>
    <n v="1150000"/>
    <n v="10350000"/>
  </r>
  <r>
    <n v="10"/>
    <s v="X10N"/>
    <x v="2"/>
    <n v="800"/>
    <n v="23000"/>
    <n v="1840000"/>
    <n v="165600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21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1:C18" firstHeaderRow="1" firstDataRow="1" firstDataCol="0"/>
  <pivotFields count="7">
    <pivotField showAll="0"/>
    <pivotField showAll="0"/>
    <pivotField showAll="0"/>
    <pivotField showAll="0"/>
    <pivotField showAll="0"/>
    <pivotField showAll="0"/>
    <pivotField showAll="0"/>
  </pivot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 chartFormat="1">
  <location ref="L9:N13" firstHeaderRow="0" firstDataRow="1" firstDataCol="1"/>
  <pivotFields count="7">
    <pivotField showAll="0"/>
    <pivotField showAll="0"/>
    <pivotField axis="axisRow" showAll="0">
      <items count="4">
        <item x="0"/>
        <item x="1"/>
        <item x="2"/>
        <item t="default"/>
      </items>
    </pivotField>
    <pivotField dataField="1" showAll="0"/>
    <pivotField showAll="0"/>
    <pivotField showAll="0"/>
    <pivotField dataField="1" showAll="0"/>
  </pivotFields>
  <rowFields count="1">
    <field x="2"/>
  </rowFields>
  <rowItems count="4">
    <i>
      <x/>
    </i>
    <i>
      <x v="1"/>
    </i>
    <i>
      <x v="2"/>
    </i>
    <i t="grand">
      <x/>
    </i>
  </rowItems>
  <colFields count="1">
    <field x="-2"/>
  </colFields>
  <colItems count="2">
    <i>
      <x/>
    </i>
    <i i="1">
      <x v="1"/>
    </i>
  </colItems>
  <dataFields count="2">
    <dataField name="Sum of Số lượng" fld="3" baseField="0" baseItem="0"/>
    <dataField name="Sum of Thành tiền" fld="6" baseField="0" baseItem="0"/>
  </dataFields>
  <chartFormats count="2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0" format="1" series="1">
      <pivotArea type="data" outline="0" fieldPosition="0">
        <references count="1">
          <reference field="4294967294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8"/>
  <sheetViews>
    <sheetView topLeftCell="A4" workbookViewId="0"/>
  </sheetViews>
  <sheetFormatPr defaultRowHeight="15" x14ac:dyDescent="0.25"/>
  <sheetData>
    <row r="1" spans="1:3" x14ac:dyDescent="0.25">
      <c r="A1" s="3"/>
      <c r="B1" s="4"/>
      <c r="C1" s="5"/>
    </row>
    <row r="2" spans="1:3" x14ac:dyDescent="0.25">
      <c r="A2" s="6"/>
      <c r="B2" s="7"/>
      <c r="C2" s="8"/>
    </row>
    <row r="3" spans="1:3" x14ac:dyDescent="0.25">
      <c r="A3" s="6"/>
      <c r="B3" s="7"/>
      <c r="C3" s="8"/>
    </row>
    <row r="4" spans="1:3" x14ac:dyDescent="0.25">
      <c r="A4" s="6"/>
      <c r="B4" s="7"/>
      <c r="C4" s="8"/>
    </row>
    <row r="5" spans="1:3" x14ac:dyDescent="0.25">
      <c r="A5" s="6"/>
      <c r="B5" s="7"/>
      <c r="C5" s="8"/>
    </row>
    <row r="6" spans="1:3" x14ac:dyDescent="0.25">
      <c r="A6" s="6"/>
      <c r="B6" s="7"/>
      <c r="C6" s="8"/>
    </row>
    <row r="7" spans="1:3" x14ac:dyDescent="0.25">
      <c r="A7" s="6"/>
      <c r="B7" s="7"/>
      <c r="C7" s="8"/>
    </row>
    <row r="8" spans="1:3" x14ac:dyDescent="0.25">
      <c r="A8" s="6"/>
      <c r="B8" s="7"/>
      <c r="C8" s="8"/>
    </row>
    <row r="9" spans="1:3" x14ac:dyDescent="0.25">
      <c r="A9" s="6"/>
      <c r="B9" s="7"/>
      <c r="C9" s="8"/>
    </row>
    <row r="10" spans="1:3" x14ac:dyDescent="0.25">
      <c r="A10" s="6"/>
      <c r="B10" s="7"/>
      <c r="C10" s="8"/>
    </row>
    <row r="11" spans="1:3" x14ac:dyDescent="0.25">
      <c r="A11" s="6"/>
      <c r="B11" s="7"/>
      <c r="C11" s="8"/>
    </row>
    <row r="12" spans="1:3" x14ac:dyDescent="0.25">
      <c r="A12" s="6"/>
      <c r="B12" s="7"/>
      <c r="C12" s="8"/>
    </row>
    <row r="13" spans="1:3" x14ac:dyDescent="0.25">
      <c r="A13" s="6"/>
      <c r="B13" s="7"/>
      <c r="C13" s="8"/>
    </row>
    <row r="14" spans="1:3" x14ac:dyDescent="0.25">
      <c r="A14" s="6"/>
      <c r="B14" s="7"/>
      <c r="C14" s="8"/>
    </row>
    <row r="15" spans="1:3" x14ac:dyDescent="0.25">
      <c r="A15" s="6"/>
      <c r="B15" s="7"/>
      <c r="C15" s="8"/>
    </row>
    <row r="16" spans="1:3" x14ac:dyDescent="0.25">
      <c r="A16" s="6"/>
      <c r="B16" s="7"/>
      <c r="C16" s="8"/>
    </row>
    <row r="17" spans="1:3" x14ac:dyDescent="0.25">
      <c r="A17" s="6"/>
      <c r="B17" s="7"/>
      <c r="C17" s="8"/>
    </row>
    <row r="18" spans="1:3" x14ac:dyDescent="0.25">
      <c r="A18" s="9"/>
      <c r="B18" s="10"/>
      <c r="C18" s="11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8"/>
  <sheetViews>
    <sheetView tabSelected="1" workbookViewId="0">
      <selection activeCell="M10" sqref="M10"/>
    </sheetView>
  </sheetViews>
  <sheetFormatPr defaultRowHeight="15" x14ac:dyDescent="0.25"/>
  <cols>
    <col min="1" max="1" width="10.7109375" customWidth="1"/>
    <col min="2" max="2" width="13" customWidth="1"/>
    <col min="3" max="3" width="12.140625" customWidth="1"/>
    <col min="6" max="6" width="13.85546875" customWidth="1"/>
    <col min="7" max="7" width="11" customWidth="1"/>
    <col min="10" max="10" width="12.140625" customWidth="1"/>
    <col min="11" max="11" width="12" customWidth="1"/>
    <col min="12" max="12" width="13.140625" customWidth="1"/>
    <col min="13" max="13" width="15.85546875" bestFit="1" customWidth="1"/>
    <col min="14" max="14" width="17.28515625" bestFit="1" customWidth="1"/>
  </cols>
  <sheetData>
    <row r="1" spans="1:14" x14ac:dyDescent="0.25">
      <c r="A1" s="16" t="s">
        <v>0</v>
      </c>
      <c r="B1" s="16"/>
      <c r="J1" s="15"/>
      <c r="K1" s="15"/>
      <c r="L1" s="15"/>
    </row>
    <row r="2" spans="1:14" x14ac:dyDescent="0.25">
      <c r="A2" s="1" t="s">
        <v>1</v>
      </c>
      <c r="B2" s="1" t="s">
        <v>2</v>
      </c>
      <c r="C2" s="1" t="s">
        <v>3</v>
      </c>
      <c r="J2" s="15"/>
      <c r="K2" s="15"/>
      <c r="L2" s="15"/>
    </row>
    <row r="3" spans="1:14" x14ac:dyDescent="0.25">
      <c r="A3" s="1" t="s">
        <v>4</v>
      </c>
      <c r="B3" s="1" t="s">
        <v>7</v>
      </c>
      <c r="C3" s="1">
        <v>23000</v>
      </c>
      <c r="J3" s="15"/>
      <c r="K3" s="15"/>
      <c r="L3" s="15"/>
    </row>
    <row r="4" spans="1:14" x14ac:dyDescent="0.25">
      <c r="A4" s="1" t="s">
        <v>5</v>
      </c>
      <c r="B4" s="1" t="s">
        <v>8</v>
      </c>
      <c r="C4" s="1">
        <v>20000</v>
      </c>
      <c r="J4" s="15"/>
      <c r="K4" s="15"/>
      <c r="L4" s="15"/>
    </row>
    <row r="5" spans="1:14" x14ac:dyDescent="0.25">
      <c r="A5" s="1" t="s">
        <v>6</v>
      </c>
      <c r="B5" s="1" t="s">
        <v>9</v>
      </c>
      <c r="C5" s="1">
        <v>50000</v>
      </c>
    </row>
    <row r="7" spans="1:14" x14ac:dyDescent="0.25">
      <c r="A7" s="16" t="s">
        <v>10</v>
      </c>
      <c r="B7" s="16"/>
      <c r="C7" s="16"/>
      <c r="D7" s="16"/>
    </row>
    <row r="8" spans="1:14" x14ac:dyDescent="0.25">
      <c r="A8" s="1" t="s">
        <v>11</v>
      </c>
      <c r="B8" s="1" t="s">
        <v>12</v>
      </c>
      <c r="C8" s="1" t="s">
        <v>2</v>
      </c>
      <c r="D8" s="1" t="s">
        <v>23</v>
      </c>
      <c r="E8" s="1" t="s">
        <v>3</v>
      </c>
      <c r="F8" s="1" t="s">
        <v>24</v>
      </c>
      <c r="G8" s="1" t="s">
        <v>25</v>
      </c>
    </row>
    <row r="9" spans="1:14" x14ac:dyDescent="0.25">
      <c r="A9" s="1">
        <v>1</v>
      </c>
      <c r="B9" s="1" t="s">
        <v>15</v>
      </c>
      <c r="C9" s="1" t="str">
        <f t="shared" ref="C9:C18" si="0">VLOOKUP(LEFT(B9,1),$A$2:$C$5,2,0)</f>
        <v>Dầu Diesel</v>
      </c>
      <c r="D9" s="1">
        <v>150</v>
      </c>
      <c r="E9" s="1">
        <f t="shared" ref="E9:E18" si="1">VLOOKUP(LEFT(B9,1),$A$2:$C$5,3,0)</f>
        <v>20000</v>
      </c>
      <c r="F9" s="1">
        <f t="shared" ref="F9:F18" si="2">IF(D9&gt;=100,D9*E9*0.1,0)</f>
        <v>300000</v>
      </c>
      <c r="G9" s="1">
        <f t="shared" ref="G9:G18" si="3">D9*E9-F9</f>
        <v>2700000</v>
      </c>
      <c r="L9" s="12" t="s">
        <v>26</v>
      </c>
      <c r="M9" t="s">
        <v>28</v>
      </c>
      <c r="N9" t="s">
        <v>29</v>
      </c>
    </row>
    <row r="10" spans="1:14" x14ac:dyDescent="0.25">
      <c r="A10" s="2">
        <v>2</v>
      </c>
      <c r="B10" s="2" t="s">
        <v>17</v>
      </c>
      <c r="C10" s="2" t="str">
        <f t="shared" si="0"/>
        <v>Dầu Diesel</v>
      </c>
      <c r="D10" s="2">
        <v>600</v>
      </c>
      <c r="E10" s="2">
        <f t="shared" si="1"/>
        <v>20000</v>
      </c>
      <c r="F10" s="2">
        <f t="shared" si="2"/>
        <v>1200000</v>
      </c>
      <c r="G10" s="2">
        <f t="shared" si="3"/>
        <v>10800000</v>
      </c>
      <c r="L10" s="13" t="s">
        <v>8</v>
      </c>
      <c r="M10" s="14">
        <v>1050</v>
      </c>
      <c r="N10" s="14">
        <v>18900000</v>
      </c>
    </row>
    <row r="11" spans="1:14" x14ac:dyDescent="0.25">
      <c r="A11" s="1">
        <v>3</v>
      </c>
      <c r="B11" s="1" t="s">
        <v>20</v>
      </c>
      <c r="C11" s="1" t="str">
        <f t="shared" si="0"/>
        <v>Dầu Diesel</v>
      </c>
      <c r="D11" s="1">
        <v>300</v>
      </c>
      <c r="E11" s="1">
        <f t="shared" si="1"/>
        <v>20000</v>
      </c>
      <c r="F11" s="1">
        <f t="shared" si="2"/>
        <v>600000</v>
      </c>
      <c r="G11" s="1">
        <f t="shared" si="3"/>
        <v>5400000</v>
      </c>
      <c r="L11" s="13" t="s">
        <v>9</v>
      </c>
      <c r="M11" s="14">
        <v>780</v>
      </c>
      <c r="N11" s="14">
        <v>35250000</v>
      </c>
    </row>
    <row r="12" spans="1:14" x14ac:dyDescent="0.25">
      <c r="A12" s="1">
        <v>4</v>
      </c>
      <c r="B12" s="1" t="s">
        <v>16</v>
      </c>
      <c r="C12" s="1" t="str">
        <f t="shared" si="0"/>
        <v>Nhớt</v>
      </c>
      <c r="D12" s="1">
        <v>100</v>
      </c>
      <c r="E12" s="1">
        <f t="shared" si="1"/>
        <v>50000</v>
      </c>
      <c r="F12" s="1">
        <f t="shared" si="2"/>
        <v>500000</v>
      </c>
      <c r="G12" s="1">
        <f t="shared" si="3"/>
        <v>4500000</v>
      </c>
      <c r="L12" s="13" t="s">
        <v>7</v>
      </c>
      <c r="M12" s="14">
        <v>1350</v>
      </c>
      <c r="N12" s="14">
        <v>28060000</v>
      </c>
    </row>
    <row r="13" spans="1:14" x14ac:dyDescent="0.25">
      <c r="A13" s="1">
        <v>5</v>
      </c>
      <c r="B13" s="1" t="s">
        <v>18</v>
      </c>
      <c r="C13" s="1" t="str">
        <f t="shared" si="0"/>
        <v>Nhớt</v>
      </c>
      <c r="D13" s="1">
        <v>250</v>
      </c>
      <c r="E13" s="1">
        <f t="shared" si="1"/>
        <v>50000</v>
      </c>
      <c r="F13" s="1">
        <f t="shared" si="2"/>
        <v>1250000</v>
      </c>
      <c r="G13" s="1">
        <f t="shared" si="3"/>
        <v>11250000</v>
      </c>
      <c r="L13" s="13" t="s">
        <v>27</v>
      </c>
      <c r="M13" s="14">
        <v>3180</v>
      </c>
      <c r="N13" s="14">
        <v>82210000</v>
      </c>
    </row>
    <row r="14" spans="1:14" x14ac:dyDescent="0.25">
      <c r="A14" s="2">
        <v>6</v>
      </c>
      <c r="B14" s="2" t="s">
        <v>19</v>
      </c>
      <c r="C14" s="2" t="str">
        <f t="shared" si="0"/>
        <v>Nhớt</v>
      </c>
      <c r="D14" s="2">
        <v>400</v>
      </c>
      <c r="E14" s="2">
        <f t="shared" si="1"/>
        <v>50000</v>
      </c>
      <c r="F14" s="2">
        <f t="shared" si="2"/>
        <v>2000000</v>
      </c>
      <c r="G14" s="2">
        <f t="shared" si="3"/>
        <v>18000000</v>
      </c>
    </row>
    <row r="15" spans="1:14" x14ac:dyDescent="0.25">
      <c r="A15" s="1">
        <v>7</v>
      </c>
      <c r="B15" s="1" t="s">
        <v>21</v>
      </c>
      <c r="C15" s="1" t="str">
        <f t="shared" si="0"/>
        <v>Nhớt</v>
      </c>
      <c r="D15" s="1">
        <v>30</v>
      </c>
      <c r="E15" s="1">
        <f t="shared" si="1"/>
        <v>50000</v>
      </c>
      <c r="F15" s="1">
        <f t="shared" si="2"/>
        <v>0</v>
      </c>
      <c r="G15" s="1">
        <f t="shared" si="3"/>
        <v>1500000</v>
      </c>
    </row>
    <row r="16" spans="1:14" x14ac:dyDescent="0.25">
      <c r="A16" s="1">
        <v>8</v>
      </c>
      <c r="B16" s="1" t="s">
        <v>13</v>
      </c>
      <c r="C16" s="1" t="str">
        <f t="shared" si="0"/>
        <v>Xăng A92</v>
      </c>
      <c r="D16" s="1">
        <v>50</v>
      </c>
      <c r="E16" s="1">
        <f t="shared" si="1"/>
        <v>23000</v>
      </c>
      <c r="F16" s="1">
        <f t="shared" si="2"/>
        <v>0</v>
      </c>
      <c r="G16" s="1">
        <f t="shared" si="3"/>
        <v>1150000</v>
      </c>
    </row>
    <row r="17" spans="1:7" x14ac:dyDescent="0.25">
      <c r="A17" s="2">
        <v>9</v>
      </c>
      <c r="B17" s="2" t="s">
        <v>14</v>
      </c>
      <c r="C17" s="2" t="str">
        <f t="shared" si="0"/>
        <v>Xăng A92</v>
      </c>
      <c r="D17" s="2">
        <v>500</v>
      </c>
      <c r="E17" s="2">
        <f t="shared" si="1"/>
        <v>23000</v>
      </c>
      <c r="F17" s="2">
        <f t="shared" si="2"/>
        <v>1150000</v>
      </c>
      <c r="G17" s="2">
        <f t="shared" si="3"/>
        <v>10350000</v>
      </c>
    </row>
    <row r="18" spans="1:7" x14ac:dyDescent="0.25">
      <c r="A18" s="2">
        <v>10</v>
      </c>
      <c r="B18" s="2" t="s">
        <v>22</v>
      </c>
      <c r="C18" s="2" t="str">
        <f t="shared" si="0"/>
        <v>Xăng A92</v>
      </c>
      <c r="D18" s="2">
        <v>800</v>
      </c>
      <c r="E18" s="2">
        <f t="shared" si="1"/>
        <v>23000</v>
      </c>
      <c r="F18" s="2">
        <f t="shared" si="2"/>
        <v>1840000</v>
      </c>
      <c r="G18" s="2">
        <f t="shared" si="3"/>
        <v>16560000</v>
      </c>
    </row>
  </sheetData>
  <sortState ref="B9:G18">
    <sortCondition ref="B9"/>
  </sortState>
  <mergeCells count="2">
    <mergeCell ref="A1:B1"/>
    <mergeCell ref="A7:D7"/>
  </mergeCells>
  <pageMargins left="0.7" right="0.7" top="0.75" bottom="0.75" header="0.3" footer="0.3"/>
  <pageSetup orientation="portrait" r:id="rId2"/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Sheet2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MAY79</dc:creator>
  <cp:lastModifiedBy>MAY79</cp:lastModifiedBy>
  <dcterms:created xsi:type="dcterms:W3CDTF">2024-11-21T17:15:52Z</dcterms:created>
  <dcterms:modified xsi:type="dcterms:W3CDTF">2024-11-21T18:30:40Z</dcterms:modified>
</cp:coreProperties>
</file>