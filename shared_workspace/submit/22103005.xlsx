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4000" windowHeight="9510"/>
  </bookViews>
  <sheets>
    <sheet name="Sheet1" sheetId="1" r:id="rId1"/>
    <sheet name="Dầu diesel" sheetId="2" r:id="rId2"/>
    <sheet name="Nhớt" sheetId="3" r:id="rId3"/>
    <sheet name="xăng" sheetId="4" r:id="rId4"/>
  </sheets>
  <calcPr calcId="162913"/>
  <pivotCaches>
    <pivotCache cacheId="2" r:id="rId5"/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12" i="1"/>
  <c r="F17" i="1"/>
  <c r="F10" i="1"/>
  <c r="F13" i="1"/>
  <c r="F14" i="1"/>
  <c r="F15" i="1"/>
  <c r="F16" i="1"/>
  <c r="E9" i="1"/>
  <c r="G9" i="1" s="1"/>
  <c r="E12" i="1"/>
  <c r="G12" i="1" s="1"/>
  <c r="E17" i="1"/>
  <c r="G17" i="1" s="1"/>
  <c r="E10" i="1"/>
  <c r="G10" i="1" s="1"/>
  <c r="E13" i="1"/>
  <c r="G13" i="1" s="1"/>
  <c r="E14" i="1"/>
  <c r="G14" i="1" s="1"/>
  <c r="E11" i="1"/>
  <c r="F11" i="1" s="1"/>
  <c r="E15" i="1"/>
  <c r="G15" i="1" s="1"/>
  <c r="E18" i="1"/>
  <c r="F18" i="1" s="1"/>
  <c r="E16" i="1"/>
  <c r="G16" i="1" s="1"/>
  <c r="C9" i="1"/>
  <c r="C12" i="1"/>
  <c r="C17" i="1"/>
  <c r="C10" i="1"/>
  <c r="C13" i="1"/>
  <c r="C14" i="1"/>
  <c r="C11" i="1"/>
  <c r="C15" i="1"/>
  <c r="C18" i="1"/>
  <c r="C16" i="1"/>
  <c r="G18" i="1" l="1"/>
  <c r="G11" i="1"/>
</calcChain>
</file>

<file path=xl/sharedStrings.xml><?xml version="1.0" encoding="utf-8"?>
<sst xmlns="http://schemas.openxmlformats.org/spreadsheetml/2006/main" count="115" uniqueCount="32">
  <si>
    <t>BẢNG GIÁ</t>
  </si>
  <si>
    <t>Mã vật tư</t>
  </si>
  <si>
    <t>Tên vật tư</t>
  </si>
  <si>
    <t>Đơn giá</t>
  </si>
  <si>
    <t>X</t>
  </si>
  <si>
    <t>D</t>
  </si>
  <si>
    <t>N</t>
  </si>
  <si>
    <t>Xăng A92</t>
  </si>
  <si>
    <t>Dầu Diesel</t>
  </si>
  <si>
    <t>Nhớt</t>
  </si>
  <si>
    <t>CHI TIẾT NHẬP XUẤT XĂNG DẦU</t>
  </si>
  <si>
    <t>STT</t>
  </si>
  <si>
    <t>Số chứng từ</t>
  </si>
  <si>
    <t>X01N</t>
  </si>
  <si>
    <t>X04N</t>
  </si>
  <si>
    <t>D02X</t>
  </si>
  <si>
    <t>N03X</t>
  </si>
  <si>
    <t>D05N</t>
  </si>
  <si>
    <t>N06X</t>
  </si>
  <si>
    <t>N07X</t>
  </si>
  <si>
    <t>D08X</t>
  </si>
  <si>
    <t>N09N</t>
  </si>
  <si>
    <t>X10N</t>
  </si>
  <si>
    <t>Số lượng</t>
  </si>
  <si>
    <t>Tiền giảm</t>
  </si>
  <si>
    <t>Thành tiền</t>
  </si>
  <si>
    <t>BẢNG THỐNG KÊ</t>
  </si>
  <si>
    <t>Grand Total</t>
  </si>
  <si>
    <t>Sum of Số lượng</t>
  </si>
  <si>
    <t>Sum of Thành tiền</t>
  </si>
  <si>
    <t>Sum of Sum of Số lượng</t>
  </si>
  <si>
    <t>Sum of Sum of 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</si>
</sst>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1" fillId="2" borderId="1" xfId="1" applyBorder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[24307024.xlsx]Sheet1!PivotTable3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Sheet1!$N$22</c:f>
              <c:strCache>
                <c:ptCount val="1"/>
                <c:pt idx="0">
                  <c:v>Sum of Sum of Số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Sheet1!$M$23:$M$26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Sheet1!$N$23:$N$26</c:f>
              <c:numCache>
                <c:formatCode>General</c:formatCode>
                <c:ptCount val="3"/>
                <c:pt idx="0">
                  <c:v>1050</c:v>
                </c:pt>
                <c:pt idx="1">
                  <c:v>780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4-4331-83D6-8F76D49BF96E}"/>
            </c:ext>
          </c:extLst>
        </c:ser>
        <c:ser>
          <c:idx val="1"/>
          <c:order val="1"/>
          <c:tx>
            <c:strRef>
              <c:f>Sheet1!$O$22</c:f>
              <c:strCache>
                <c:ptCount val="1"/>
                <c:pt idx="0">
                  <c:v>Sum of Sum of Thành tiền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Sheet1!$M$23:$M$26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Sheet1!$O$23:$O$26</c:f>
              <c:numCache>
                <c:formatCode>General</c:formatCode>
                <c:ptCount val="3"/>
                <c:pt idx="0">
                  <c:v>18900000</c:v>
                </c:pt>
                <c:pt idx="1">
                  <c:v>35250000</c:v>
                </c:pt>
                <c:pt idx="2">
                  <c:v>28060000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4-4331-83D6-8F76D49BF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101375"/>
        <c:axId val="1035101791"/>
      </c:barChart>
      <c:catAx>
        <c:axId val="103510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01791"/>
        <c:crosses val="autoZero"/>
        <c:auto val="1"/>
        <c:lblAlgn val="ctr"/>
        <c:lblOffset val="100"/>
        <c:noMultiLvlLbl val="0"/>
      </c:catAx>
      <c:valAx>
        <c:axId val="10351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0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538162</xdr:colOff>
      <xdr:row>20</xdr:row>
      <xdr:rowOff>142875</xdr:rowOff>
    </xdr:from>
    <xdr:to>
      <xdr:col>11</xdr:col>
      <xdr:colOff>423862</xdr:colOff>
      <xdr:row>35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89" refreshedDate="45617.389418055558" createdVersion="6" refreshedVersion="6" minRefreshableVersion="3" recordCount="10">
  <cacheSource type="worksheet">
    <worksheetSource ref="A8:G18" sheet="Sheet1"/>
  </cacheSource>
  <cacheFields count="7">
    <cacheField name="STT" numFmtId="0">
      <sharedItems containsSemiMixedTypes="0" containsString="0" containsNumber="1" containsInteger="1" minValue="1" maxValue="10"/>
    </cacheField>
    <cacheField name="Số chứng từ" numFmtId="0">
      <sharedItems/>
    </cacheField>
    <cacheField name="Tên vật tư" numFmtId="0">
      <sharedItems count="3">
        <s v="Xăng A92"/>
        <s v="Dầu Diesel"/>
        <s v="Nhớt"/>
      </sharedItems>
    </cacheField>
    <cacheField name="Số lượng" numFmtId="0">
      <sharedItems containsSemiMixedTypes="0" containsString="0" containsNumber="1" containsInteger="1" minValue="30" maxValue="800"/>
    </cacheField>
    <cacheField name="Đơn giá" numFmtId="0">
      <sharedItems containsSemiMixedTypes="0" containsString="0" containsNumber="1" containsInteger="1" minValue="20000" maxValue="50000"/>
    </cacheField>
    <cacheField name="Tiền giảm" numFmtId="0">
      <sharedItems containsSemiMixedTypes="0" containsString="0" containsNumber="1" containsInteger="1" minValue="0" maxValue="2000000"/>
    </cacheField>
    <cacheField name="Thành tiền" numFmtId="0">
      <sharedItems containsSemiMixedTypes="0" containsString="0" containsNumber="1" containsInteger="1" minValue="1150000" maxValue="18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Y89" refreshedDate="45617.397102893519" createdVersion="6" refreshedVersion="6" minRefreshableVersion="3" recordCount="3">
  <cacheSource type="worksheet">
    <worksheetSource ref="M8:O11" sheet="Sheet1"/>
  </cacheSource>
  <cacheFields count="3">
    <cacheField name="Tên vật tư" numFmtId="0">
      <sharedItems count="3">
        <s v="Dầu Diesel"/>
        <s v="Nhớt"/>
        <s v="Xăng A92"/>
      </sharedItems>
    </cacheField>
    <cacheField name="Sum of Số lượng" numFmtId="0">
      <sharedItems containsSemiMixedTypes="0" containsString="0" containsNumber="1" containsInteger="1" minValue="780" maxValue="1350"/>
    </cacheField>
    <cacheField name="Sum of Thành tiền" numFmtId="0">
      <sharedItems containsSemiMixedTypes="0" containsString="0" containsNumber="1" containsInteger="1" minValue="18900000" maxValue="35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s v="X01N"/>
    <x v="0"/>
    <n v="50"/>
    <n v="23000"/>
    <n v="0"/>
    <n v="1150000"/>
  </r>
  <r>
    <n v="2"/>
    <s v="D02X"/>
    <x v="1"/>
    <n v="150"/>
    <n v="20000"/>
    <n v="300000"/>
    <n v="2700000"/>
  </r>
  <r>
    <n v="3"/>
    <s v="N03X"/>
    <x v="2"/>
    <n v="100"/>
    <n v="50000"/>
    <n v="500000"/>
    <n v="4500000"/>
  </r>
  <r>
    <n v="4"/>
    <s v="X04N"/>
    <x v="0"/>
    <n v="500"/>
    <n v="23000"/>
    <n v="1150000"/>
    <n v="10350000"/>
  </r>
  <r>
    <n v="5"/>
    <s v="D05N"/>
    <x v="1"/>
    <n v="600"/>
    <n v="20000"/>
    <n v="1200000"/>
    <n v="10800000"/>
  </r>
  <r>
    <n v="6"/>
    <s v="N06X"/>
    <x v="2"/>
    <n v="250"/>
    <n v="50000"/>
    <n v="1250000"/>
    <n v="11250000"/>
  </r>
  <r>
    <n v="7"/>
    <s v="N07X"/>
    <x v="2"/>
    <n v="400"/>
    <n v="50000"/>
    <n v="2000000"/>
    <n v="18000000"/>
  </r>
  <r>
    <n v="8"/>
    <s v="D08X"/>
    <x v="1"/>
    <n v="300"/>
    <n v="20000"/>
    <n v="600000"/>
    <n v="5400000"/>
  </r>
  <r>
    <n v="9"/>
    <s v="N09N"/>
    <x v="2"/>
    <n v="30"/>
    <n v="50000"/>
    <n v="0"/>
    <n v="1500000"/>
  </r>
  <r>
    <n v="10"/>
    <s v="X10N"/>
    <x v="0"/>
    <n v="800"/>
    <n v="23000"/>
    <n v="1840000"/>
    <n v="1656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n v="1050"/>
    <n v="18900000"/>
  </r>
  <r>
    <x v="1"/>
    <n v="780"/>
    <n v="35250000"/>
  </r>
  <r>
    <x v="2"/>
    <n v="1350"/>
    <n v="280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Tên vật tư">
  <location ref="M22:O26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 of Số lượng" fld="1" baseField="0" baseItem="0"/>
    <dataField name="Sum of Sum of Thành tiền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ên vật tư">
  <location ref="M8:O12" firstHeaderRow="0" firstDataRow="1" firstDataCol="1"/>
  <pivotFields count="7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lượng" fld="3" baseField="0" baseItem="0"/>
    <dataField name="Sum of Thành tiề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sqref="A1:B1"/>
    </sheetView>
  </sheetViews>
  <sheetFormatPr defaultRowHeight="15" x14ac:dyDescent="0.25"/>
  <cols>
    <col min="1" max="1" width="11.85546875" customWidth="1"/>
    <col min="2" max="2" width="12.140625" customWidth="1"/>
    <col min="3" max="3" width="11.42578125" customWidth="1"/>
    <col min="7" max="7" width="11.7109375" customWidth="1"/>
    <col min="10" max="11" width="15.5703125" customWidth="1"/>
    <col min="12" max="12" width="13.7109375" customWidth="1"/>
    <col min="13" max="13" width="13.140625" bestFit="1" customWidth="1"/>
    <col min="14" max="14" width="22.7109375" bestFit="1" customWidth="1"/>
    <col min="15" max="15" width="24" bestFit="1" customWidth="1"/>
  </cols>
  <sheetData>
    <row r="1" spans="1:15" x14ac:dyDescent="0.25">
      <c r="A1" s="3" t="s">
        <v>0</v>
      </c>
      <c r="B1" s="3"/>
    </row>
    <row r="2" spans="1:15" x14ac:dyDescent="0.25">
      <c r="A2" s="2" t="s">
        <v>1</v>
      </c>
      <c r="B2" s="2" t="s">
        <v>2</v>
      </c>
      <c r="C2" s="2" t="s">
        <v>3</v>
      </c>
    </row>
    <row r="3" spans="1:15" x14ac:dyDescent="0.25">
      <c r="A3" s="1" t="s">
        <v>4</v>
      </c>
      <c r="B3" s="1" t="s">
        <v>7</v>
      </c>
      <c r="C3" s="1">
        <v>23000</v>
      </c>
    </row>
    <row r="4" spans="1:15" x14ac:dyDescent="0.25">
      <c r="A4" s="1" t="s">
        <v>5</v>
      </c>
      <c r="B4" s="1" t="s">
        <v>8</v>
      </c>
      <c r="C4" s="1">
        <v>20000</v>
      </c>
    </row>
    <row r="5" spans="1:15" x14ac:dyDescent="0.25">
      <c r="A5" s="1" t="s">
        <v>6</v>
      </c>
      <c r="B5" s="1" t="s">
        <v>9</v>
      </c>
      <c r="C5" s="1">
        <v>50000</v>
      </c>
    </row>
    <row r="7" spans="1:15" x14ac:dyDescent="0.25">
      <c r="A7" s="3" t="s">
        <v>10</v>
      </c>
      <c r="B7" s="3"/>
      <c r="C7" s="3"/>
      <c r="D7" s="3"/>
      <c r="E7" s="3"/>
      <c r="M7" s="3" t="s">
        <v>26</v>
      </c>
      <c r="N7" s="3"/>
    </row>
    <row r="8" spans="1:15" x14ac:dyDescent="0.25">
      <c r="A8" s="2" t="s">
        <v>11</v>
      </c>
      <c r="B8" s="2" t="s">
        <v>12</v>
      </c>
      <c r="C8" s="2" t="s">
        <v>2</v>
      </c>
      <c r="D8" s="2" t="s">
        <v>23</v>
      </c>
      <c r="E8" s="2" t="s">
        <v>3</v>
      </c>
      <c r="F8" s="2" t="s">
        <v>24</v>
      </c>
      <c r="G8" s="2" t="s">
        <v>25</v>
      </c>
      <c r="J8" s="4"/>
      <c r="K8" s="4"/>
      <c r="L8" s="4"/>
      <c r="M8" s="5" t="s">
        <v>2</v>
      </c>
      <c r="N8" t="s">
        <v>28</v>
      </c>
      <c r="O8" t="s">
        <v>29</v>
      </c>
    </row>
    <row r="9" spans="1:15" x14ac:dyDescent="0.25">
      <c r="A9" s="1">
        <v>2</v>
      </c>
      <c r="B9" s="1" t="s">
        <v>15</v>
      </c>
      <c r="C9" s="1" t="str">
        <f>VLOOKUP(LEFT(B9,1),$A$2:$C$5,2,0)</f>
        <v>Dầu Diesel</v>
      </c>
      <c r="D9" s="1">
        <v>150</v>
      </c>
      <c r="E9" s="1">
        <f>VLOOKUP(LEFT(B9,1),$A$2:$C$5,3,0)</f>
        <v>20000</v>
      </c>
      <c r="F9" s="1">
        <f>IF(D9&gt;=100,10%*D9*E9,0)</f>
        <v>300000</v>
      </c>
      <c r="G9" s="1">
        <f>D9*E9-F9</f>
        <v>2700000</v>
      </c>
      <c r="J9" s="8"/>
      <c r="K9" s="8"/>
      <c r="L9" s="8"/>
      <c r="M9" s="6" t="s">
        <v>8</v>
      </c>
      <c r="N9" s="7">
        <v>1050</v>
      </c>
      <c r="O9" s="7">
        <v>18900000</v>
      </c>
    </row>
    <row r="10" spans="1:15" x14ac:dyDescent="0.25">
      <c r="A10" s="9">
        <v>5</v>
      </c>
      <c r="B10" s="9" t="s">
        <v>17</v>
      </c>
      <c r="C10" s="9" t="str">
        <f>VLOOKUP(LEFT(B10,1),$A$2:$C$5,2,0)</f>
        <v>Dầu Diesel</v>
      </c>
      <c r="D10" s="10">
        <v>600</v>
      </c>
      <c r="E10" s="9">
        <f>VLOOKUP(LEFT(B10,1),$A$2:$C$5,3,0)</f>
        <v>20000</v>
      </c>
      <c r="F10" s="9">
        <f>IF(D10&gt;=100,10%*D10*E10,0)</f>
        <v>1200000</v>
      </c>
      <c r="G10" s="9">
        <f>D10*E10-F10</f>
        <v>10800000</v>
      </c>
      <c r="J10" s="8"/>
      <c r="K10" s="8"/>
      <c r="L10" s="8"/>
      <c r="M10" s="6" t="s">
        <v>9</v>
      </c>
      <c r="N10" s="7">
        <v>780</v>
      </c>
      <c r="O10" s="7">
        <v>35250000</v>
      </c>
    </row>
    <row r="11" spans="1:15" x14ac:dyDescent="0.25">
      <c r="A11" s="1">
        <v>8</v>
      </c>
      <c r="B11" s="1" t="s">
        <v>20</v>
      </c>
      <c r="C11" s="1" t="str">
        <f>VLOOKUP(LEFT(B11,1),$A$2:$C$5,2,0)</f>
        <v>Dầu Diesel</v>
      </c>
      <c r="D11" s="1">
        <v>300</v>
      </c>
      <c r="E11" s="1">
        <f>VLOOKUP(LEFT(B11,1),$A$2:$C$5,3,0)</f>
        <v>20000</v>
      </c>
      <c r="F11" s="1">
        <f>IF(D11&gt;=100,10%*D11*E11,0)</f>
        <v>600000</v>
      </c>
      <c r="G11" s="1">
        <f>D11*E11-F11</f>
        <v>5400000</v>
      </c>
      <c r="J11" s="8"/>
      <c r="K11" s="8"/>
      <c r="L11" s="8"/>
      <c r="M11" s="6" t="s">
        <v>7</v>
      </c>
      <c r="N11" s="7">
        <v>1350</v>
      </c>
      <c r="O11" s="7">
        <v>28060000</v>
      </c>
    </row>
    <row r="12" spans="1:15" x14ac:dyDescent="0.25">
      <c r="A12" s="1">
        <v>3</v>
      </c>
      <c r="B12" s="1" t="s">
        <v>16</v>
      </c>
      <c r="C12" s="1" t="str">
        <f>VLOOKUP(LEFT(B12,1),$A$2:$C$5,2,0)</f>
        <v>Nhớt</v>
      </c>
      <c r="D12" s="1">
        <v>100</v>
      </c>
      <c r="E12" s="1">
        <f>VLOOKUP(LEFT(B12,1),$A$2:$C$5,3,0)</f>
        <v>50000</v>
      </c>
      <c r="F12" s="1">
        <f>IF(D12&gt;=100,10%*D12*E12,0)</f>
        <v>500000</v>
      </c>
      <c r="G12" s="1">
        <f>D12*E12-F12</f>
        <v>4500000</v>
      </c>
      <c r="M12" s="6" t="s">
        <v>27</v>
      </c>
      <c r="N12" s="7">
        <v>3180</v>
      </c>
      <c r="O12" s="7">
        <v>82210000</v>
      </c>
    </row>
    <row r="13" spans="1:15" x14ac:dyDescent="0.25">
      <c r="A13" s="1">
        <v>6</v>
      </c>
      <c r="B13" s="1" t="s">
        <v>18</v>
      </c>
      <c r="C13" s="1" t="str">
        <f>VLOOKUP(LEFT(B13,1),$A$2:$C$5,2,0)</f>
        <v>Nhớt</v>
      </c>
      <c r="D13" s="1">
        <v>250</v>
      </c>
      <c r="E13" s="1">
        <f>VLOOKUP(LEFT(B13,1),$A$2:$C$5,3,0)</f>
        <v>50000</v>
      </c>
      <c r="F13" s="1">
        <f>IF(D13&gt;=100,10%*D13*E13,0)</f>
        <v>1250000</v>
      </c>
      <c r="G13" s="1">
        <f>D13*E13-F13</f>
        <v>11250000</v>
      </c>
    </row>
    <row r="14" spans="1:15" x14ac:dyDescent="0.25">
      <c r="A14" s="9">
        <v>7</v>
      </c>
      <c r="B14" s="9" t="s">
        <v>19</v>
      </c>
      <c r="C14" s="9" t="str">
        <f>VLOOKUP(LEFT(B14,1),$A$2:$C$5,2,0)</f>
        <v>Nhớt</v>
      </c>
      <c r="D14" s="10">
        <v>400</v>
      </c>
      <c r="E14" s="9">
        <f>VLOOKUP(LEFT(B14,1),$A$2:$C$5,3,0)</f>
        <v>50000</v>
      </c>
      <c r="F14" s="9">
        <f>IF(D14&gt;=100,10%*D14*E14,0)</f>
        <v>2000000</v>
      </c>
      <c r="G14" s="9">
        <f>D14*E14-F14</f>
        <v>18000000</v>
      </c>
    </row>
    <row r="15" spans="1:15" x14ac:dyDescent="0.25">
      <c r="A15" s="1">
        <v>9</v>
      </c>
      <c r="B15" s="1" t="s">
        <v>21</v>
      </c>
      <c r="C15" s="1" t="str">
        <f>VLOOKUP(LEFT(B15,1),$A$2:$C$5,2,0)</f>
        <v>Nhớt</v>
      </c>
      <c r="D15" s="1">
        <v>30</v>
      </c>
      <c r="E15" s="1">
        <f>VLOOKUP(LEFT(B15,1),$A$2:$C$5,3,0)</f>
        <v>50000</v>
      </c>
      <c r="F15" s="1">
        <f>IF(D15&gt;=100,10%*D15*E15,0)</f>
        <v>0</v>
      </c>
      <c r="G15" s="1">
        <f>D15*E15-F15</f>
        <v>1500000</v>
      </c>
    </row>
    <row r="16" spans="1:15" x14ac:dyDescent="0.25">
      <c r="A16" s="1">
        <v>1</v>
      </c>
      <c r="B16" s="1" t="s">
        <v>13</v>
      </c>
      <c r="C16" s="1" t="str">
        <f>VLOOKUP(LEFT(B16,1),$A$2:$C$5,2,0)</f>
        <v>Xăng A92</v>
      </c>
      <c r="D16" s="1">
        <v>50</v>
      </c>
      <c r="E16" s="1">
        <f>VLOOKUP(LEFT(B16,1),$A$2:$C$5,3,0)</f>
        <v>23000</v>
      </c>
      <c r="F16" s="1">
        <f>IF(D16&gt;=100,10%*D16*E16,0)</f>
        <v>0</v>
      </c>
      <c r="G16" s="1">
        <f>D16*E16-F16</f>
        <v>1150000</v>
      </c>
    </row>
    <row r="17" spans="1:15" x14ac:dyDescent="0.25">
      <c r="A17" s="9">
        <v>4</v>
      </c>
      <c r="B17" s="9" t="s">
        <v>14</v>
      </c>
      <c r="C17" s="9" t="str">
        <f>VLOOKUP(LEFT(B17,1),$A$2:$C$5,2,0)</f>
        <v>Xăng A92</v>
      </c>
      <c r="D17" s="10">
        <v>500</v>
      </c>
      <c r="E17" s="9">
        <f>VLOOKUP(LEFT(B17,1),$A$2:$C$5,3,0)</f>
        <v>23000</v>
      </c>
      <c r="F17" s="9">
        <f>IF(D17&gt;=100,10%*D17*E17,0)</f>
        <v>1150000</v>
      </c>
      <c r="G17" s="9">
        <f>D17*E17-F17</f>
        <v>10350000</v>
      </c>
    </row>
    <row r="18" spans="1:15" x14ac:dyDescent="0.25">
      <c r="A18" s="9">
        <v>10</v>
      </c>
      <c r="B18" s="9" t="s">
        <v>22</v>
      </c>
      <c r="C18" s="9" t="str">
        <f>VLOOKUP(LEFT(B18,1),$A$2:$C$5,2,0)</f>
        <v>Xăng A92</v>
      </c>
      <c r="D18" s="9">
        <v>800</v>
      </c>
      <c r="E18" s="9">
        <f>VLOOKUP(LEFT(B18,1),$A$2:$C$5,3,0)</f>
        <v>23000</v>
      </c>
      <c r="F18" s="9">
        <f>IF(D18&gt;=100,10%*D18*E18,0)</f>
        <v>1840000</v>
      </c>
      <c r="G18" s="9">
        <f>D18*E18-F18</f>
        <v>16560000</v>
      </c>
    </row>
    <row r="21" spans="1:15" x14ac:dyDescent="0.25">
      <c r="M21" s="6"/>
      <c r="N21" s="7"/>
      <c r="O21" s="7"/>
    </row>
    <row r="22" spans="1:15" x14ac:dyDescent="0.25">
      <c r="M22" s="5" t="s">
        <v>2</v>
      </c>
      <c r="N22" t="s">
        <v>30</v>
      </c>
      <c r="O22" t="s">
        <v>31</v>
      </c>
    </row>
    <row r="23" spans="1:15" x14ac:dyDescent="0.25">
      <c r="M23" s="6" t="s">
        <v>8</v>
      </c>
      <c r="N23" s="7">
        <v>1050</v>
      </c>
      <c r="O23" s="7">
        <v>18900000</v>
      </c>
    </row>
    <row r="24" spans="1:15" x14ac:dyDescent="0.25">
      <c r="M24" s="6" t="s">
        <v>9</v>
      </c>
      <c r="N24" s="7">
        <v>780</v>
      </c>
      <c r="O24" s="7">
        <v>35250000</v>
      </c>
    </row>
    <row r="25" spans="1:15" x14ac:dyDescent="0.25">
      <c r="M25" s="6" t="s">
        <v>7</v>
      </c>
      <c r="N25" s="7">
        <v>1350</v>
      </c>
      <c r="O25" s="7">
        <v>28060000</v>
      </c>
    </row>
    <row r="26" spans="1:15" x14ac:dyDescent="0.25">
      <c r="M26" s="6" t="s">
        <v>27</v>
      </c>
      <c r="N26" s="7">
        <v>3180</v>
      </c>
      <c r="O26" s="7">
        <v>82210000</v>
      </c>
    </row>
  </sheetData>
  <sortState ref="A9:G18">
    <sortCondition ref="C9"/>
  </sortState>
  <mergeCells count="3">
    <mergeCell ref="A1:B1"/>
    <mergeCell ref="A7:E7"/>
    <mergeCell ref="M7:N7"/>
  </mergeCell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10" sqref="A10:G10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s="1" t="s">
        <v>1</v>
      </c>
      <c r="B2" s="1" t="s">
        <v>2</v>
      </c>
      <c r="C2" s="1" t="s">
        <v>3</v>
      </c>
    </row>
    <row r="3" spans="1:7" x14ac:dyDescent="0.25">
      <c r="A3" s="1" t="s">
        <v>4</v>
      </c>
      <c r="B3" s="1" t="s">
        <v>7</v>
      </c>
      <c r="C3" s="1">
        <v>23000</v>
      </c>
    </row>
    <row r="4" spans="1:7" x14ac:dyDescent="0.25">
      <c r="A4" s="1" t="s">
        <v>5</v>
      </c>
      <c r="B4" s="1" t="s">
        <v>8</v>
      </c>
      <c r="C4" s="1">
        <v>20000</v>
      </c>
    </row>
    <row r="5" spans="1:7" x14ac:dyDescent="0.25">
      <c r="A5" s="1" t="s">
        <v>6</v>
      </c>
      <c r="B5" s="1" t="s">
        <v>9</v>
      </c>
      <c r="C5" s="1">
        <v>50000</v>
      </c>
    </row>
    <row r="7" spans="1:7" x14ac:dyDescent="0.25">
      <c r="A7" t="s">
        <v>10</v>
      </c>
    </row>
    <row r="8" spans="1:7" x14ac:dyDescent="0.25">
      <c r="A8" s="1" t="s">
        <v>11</v>
      </c>
      <c r="B8" s="1" t="s">
        <v>12</v>
      </c>
      <c r="C8" s="1" t="s">
        <v>2</v>
      </c>
      <c r="D8" s="1" t="s">
        <v>23</v>
      </c>
      <c r="E8" s="1" t="s">
        <v>3</v>
      </c>
      <c r="F8" s="1" t="s">
        <v>24</v>
      </c>
      <c r="G8" s="1" t="s">
        <v>25</v>
      </c>
    </row>
    <row r="9" spans="1:7" x14ac:dyDescent="0.25">
      <c r="A9" s="1">
        <v>2</v>
      </c>
      <c r="B9" s="1" t="s">
        <v>15</v>
      </c>
      <c r="C9" s="1" t="s">
        <v>8</v>
      </c>
      <c r="D9" s="1">
        <v>150</v>
      </c>
      <c r="E9" s="1">
        <v>20000</v>
      </c>
      <c r="F9" s="1">
        <v>300000</v>
      </c>
      <c r="G9" s="1">
        <v>2700000</v>
      </c>
    </row>
    <row r="10" spans="1:7" x14ac:dyDescent="0.25">
      <c r="A10" s="9">
        <v>5</v>
      </c>
      <c r="B10" s="9" t="s">
        <v>17</v>
      </c>
      <c r="C10" s="9" t="s">
        <v>8</v>
      </c>
      <c r="D10" s="9">
        <v>600</v>
      </c>
      <c r="E10" s="9">
        <v>20000</v>
      </c>
      <c r="F10" s="9">
        <v>1200000</v>
      </c>
      <c r="G10" s="9">
        <v>10800000</v>
      </c>
    </row>
    <row r="11" spans="1:7" x14ac:dyDescent="0.25">
      <c r="A11" s="1">
        <v>8</v>
      </c>
      <c r="B11" s="1" t="s">
        <v>20</v>
      </c>
      <c r="C11" s="1" t="s">
        <v>8</v>
      </c>
      <c r="D11" s="1">
        <v>300</v>
      </c>
      <c r="E11" s="1">
        <v>20000</v>
      </c>
      <c r="F11" s="1">
        <v>600000</v>
      </c>
      <c r="G11" s="1">
        <v>5400000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P16" sqref="P16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</row>
    <row r="3" spans="1:7" x14ac:dyDescent="0.25">
      <c r="A3" t="s">
        <v>4</v>
      </c>
      <c r="B3" t="s">
        <v>7</v>
      </c>
      <c r="C3">
        <v>23000</v>
      </c>
    </row>
    <row r="4" spans="1:7" x14ac:dyDescent="0.25">
      <c r="A4" t="s">
        <v>5</v>
      </c>
      <c r="B4" t="s">
        <v>8</v>
      </c>
      <c r="C4">
        <v>20000</v>
      </c>
    </row>
    <row r="5" spans="1:7" x14ac:dyDescent="0.25">
      <c r="A5" t="s">
        <v>6</v>
      </c>
      <c r="B5" t="s">
        <v>9</v>
      </c>
      <c r="C5">
        <v>50000</v>
      </c>
    </row>
    <row r="7" spans="1:7" x14ac:dyDescent="0.25">
      <c r="A7" t="s">
        <v>10</v>
      </c>
    </row>
    <row r="8" spans="1:7" x14ac:dyDescent="0.25">
      <c r="A8" t="s">
        <v>11</v>
      </c>
      <c r="B8" t="s">
        <v>12</v>
      </c>
      <c r="C8" t="s">
        <v>2</v>
      </c>
      <c r="D8" t="s">
        <v>23</v>
      </c>
      <c r="E8" t="s">
        <v>3</v>
      </c>
      <c r="F8" t="s">
        <v>24</v>
      </c>
      <c r="G8" t="s">
        <v>25</v>
      </c>
    </row>
    <row r="9" spans="1:7" x14ac:dyDescent="0.25">
      <c r="A9">
        <v>6</v>
      </c>
      <c r="B9" t="s">
        <v>18</v>
      </c>
      <c r="C9" t="s">
        <v>9</v>
      </c>
      <c r="D9">
        <v>250</v>
      </c>
      <c r="E9">
        <v>50000</v>
      </c>
      <c r="F9">
        <v>1250000</v>
      </c>
      <c r="G9">
        <v>11250000</v>
      </c>
    </row>
    <row r="10" spans="1:7" x14ac:dyDescent="0.25">
      <c r="A10" s="10">
        <v>7</v>
      </c>
      <c r="B10" s="10" t="s">
        <v>19</v>
      </c>
      <c r="C10" s="10" t="s">
        <v>9</v>
      </c>
      <c r="D10" s="10">
        <v>400</v>
      </c>
      <c r="E10" s="10">
        <v>50000</v>
      </c>
      <c r="F10" s="10">
        <v>2000000</v>
      </c>
      <c r="G10" s="10">
        <v>18000000</v>
      </c>
    </row>
    <row r="11" spans="1:7" x14ac:dyDescent="0.25">
      <c r="A11">
        <v>9</v>
      </c>
      <c r="B11" t="s">
        <v>21</v>
      </c>
      <c r="C11" t="s">
        <v>9</v>
      </c>
      <c r="D11">
        <v>30</v>
      </c>
      <c r="E11">
        <v>50000</v>
      </c>
      <c r="F11">
        <v>0</v>
      </c>
      <c r="G11">
        <v>1500000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10" sqref="A10:G11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s="1" t="s">
        <v>1</v>
      </c>
      <c r="B2" s="1" t="s">
        <v>2</v>
      </c>
      <c r="C2" s="1" t="s">
        <v>3</v>
      </c>
    </row>
    <row r="3" spans="1:7" x14ac:dyDescent="0.25">
      <c r="A3" s="1" t="s">
        <v>4</v>
      </c>
      <c r="B3" s="1" t="s">
        <v>7</v>
      </c>
      <c r="C3" s="1">
        <v>23000</v>
      </c>
    </row>
    <row r="4" spans="1:7" x14ac:dyDescent="0.25">
      <c r="A4" s="1" t="s">
        <v>5</v>
      </c>
      <c r="B4" s="1" t="s">
        <v>8</v>
      </c>
      <c r="C4" s="1">
        <v>20000</v>
      </c>
    </row>
    <row r="5" spans="1:7" x14ac:dyDescent="0.25">
      <c r="A5" s="1" t="s">
        <v>6</v>
      </c>
      <c r="B5" s="1" t="s">
        <v>9</v>
      </c>
      <c r="C5" s="1">
        <v>50000</v>
      </c>
    </row>
    <row r="7" spans="1:7" x14ac:dyDescent="0.25">
      <c r="A7" t="s">
        <v>10</v>
      </c>
    </row>
    <row r="8" spans="1:7" x14ac:dyDescent="0.25">
      <c r="A8" s="1" t="s">
        <v>11</v>
      </c>
      <c r="B8" s="1" t="s">
        <v>12</v>
      </c>
      <c r="C8" s="1" t="s">
        <v>2</v>
      </c>
      <c r="D8" s="1" t="s">
        <v>23</v>
      </c>
      <c r="E8" s="1" t="s">
        <v>3</v>
      </c>
      <c r="F8" s="1" t="s">
        <v>24</v>
      </c>
      <c r="G8" s="1" t="s">
        <v>25</v>
      </c>
    </row>
    <row r="9" spans="1:7" x14ac:dyDescent="0.25">
      <c r="A9" s="1">
        <v>1</v>
      </c>
      <c r="B9" s="1" t="s">
        <v>13</v>
      </c>
      <c r="C9" s="1" t="s">
        <v>7</v>
      </c>
      <c r="D9" s="1">
        <v>50</v>
      </c>
      <c r="E9" s="1">
        <v>23000</v>
      </c>
      <c r="F9" s="1">
        <v>0</v>
      </c>
      <c r="G9" s="1">
        <v>1150000</v>
      </c>
    </row>
    <row r="10" spans="1:7" x14ac:dyDescent="0.25">
      <c r="A10" s="9">
        <v>4</v>
      </c>
      <c r="B10" s="9" t="s">
        <v>14</v>
      </c>
      <c r="C10" s="9" t="s">
        <v>7</v>
      </c>
      <c r="D10" s="9">
        <v>500</v>
      </c>
      <c r="E10" s="9">
        <v>23000</v>
      </c>
      <c r="F10" s="9">
        <v>1150000</v>
      </c>
      <c r="G10" s="9">
        <v>10350000</v>
      </c>
    </row>
    <row r="11" spans="1:7" x14ac:dyDescent="0.25">
      <c r="A11" s="9">
        <v>10</v>
      </c>
      <c r="B11" s="9" t="s">
        <v>22</v>
      </c>
      <c r="C11" s="9" t="s">
        <v>7</v>
      </c>
      <c r="D11" s="9">
        <v>800</v>
      </c>
      <c r="E11" s="9">
        <v>23000</v>
      </c>
      <c r="F11" s="9">
        <v>1840000</v>
      </c>
      <c r="G11" s="9">
        <v>16560000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Dầu diesel</vt:lpstr>
      <vt:lpstr>Nhớt</vt:lpstr>
      <vt:lpstr>xăng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MAY89</dc:creator>
  <cp:lastModifiedBy>MAY89</cp:lastModifiedBy>
  <dcterms:created xsi:type="dcterms:W3CDTF">2024-11-21T01:57:55Z</dcterms:created>
  <dcterms:modified xsi:type="dcterms:W3CDTF">2024-11-21T03:37:22Z</dcterms:modified>
</cp:coreProperties>
</file>