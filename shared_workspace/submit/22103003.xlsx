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4000" windowHeight="9510"/>
  </bookViews>
  <sheets>
    <sheet name="Sheet1" sheetId="1" r:id="rId1"/>
    <sheet name="Xăng A92" sheetId="3" r:id="rId2"/>
    <sheet name="Dầu diesel" sheetId="5" r:id="rId3"/>
    <sheet name="Nhớt" sheetId="7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7" l="1"/>
  <c r="F15" i="7"/>
  <c r="E15" i="7"/>
  <c r="C15" i="7"/>
  <c r="G14" i="7"/>
  <c r="F14" i="7"/>
  <c r="E14" i="7"/>
  <c r="C14" i="7"/>
  <c r="G13" i="7"/>
  <c r="F13" i="7"/>
  <c r="E13" i="7"/>
  <c r="C13" i="7"/>
  <c r="G12" i="7"/>
  <c r="F12" i="7"/>
  <c r="E12" i="7"/>
  <c r="C12" i="7"/>
  <c r="G14" i="5"/>
  <c r="F14" i="5"/>
  <c r="E14" i="5"/>
  <c r="C14" i="5"/>
  <c r="G13" i="5"/>
  <c r="F13" i="5"/>
  <c r="E13" i="5"/>
  <c r="C13" i="5"/>
  <c r="G12" i="5"/>
  <c r="F12" i="5"/>
  <c r="E12" i="5"/>
  <c r="C12" i="5"/>
  <c r="G14" i="3"/>
  <c r="F14" i="3"/>
  <c r="E14" i="3"/>
  <c r="C14" i="3"/>
  <c r="G13" i="3"/>
  <c r="F13" i="3"/>
  <c r="E13" i="3"/>
  <c r="C13" i="3"/>
  <c r="G12" i="3"/>
  <c r="F12" i="3"/>
  <c r="E12" i="3"/>
  <c r="C12" i="3"/>
  <c r="G21" i="1"/>
  <c r="F21" i="1"/>
  <c r="E21" i="1"/>
  <c r="C21" i="1"/>
  <c r="G20" i="1"/>
  <c r="F20" i="1"/>
  <c r="E20" i="1"/>
  <c r="C20" i="1"/>
  <c r="G19" i="1"/>
  <c r="F19" i="1"/>
  <c r="E19" i="1"/>
  <c r="C19" i="1"/>
  <c r="G18" i="1"/>
  <c r="F18" i="1"/>
  <c r="E18" i="1"/>
  <c r="C18" i="1"/>
  <c r="G17" i="1"/>
  <c r="F17" i="1"/>
  <c r="E17" i="1"/>
  <c r="C17" i="1"/>
  <c r="G16" i="1"/>
  <c r="F16" i="1"/>
  <c r="E16" i="1"/>
  <c r="C16" i="1"/>
  <c r="G15" i="1"/>
  <c r="F15" i="1"/>
  <c r="E15" i="1"/>
  <c r="C15" i="1"/>
  <c r="G14" i="1"/>
  <c r="F14" i="1"/>
  <c r="E14" i="1"/>
  <c r="C14" i="1"/>
  <c r="G13" i="1"/>
  <c r="F13" i="1"/>
  <c r="E13" i="1"/>
  <c r="C13" i="1"/>
  <c r="G12" i="1"/>
  <c r="F12" i="1"/>
  <c r="E12" i="1"/>
  <c r="C12" i="1"/>
</calcChain>
</file>

<file path=xl/sharedStrings.xml><?xml version="1.0" encoding="utf-8"?>
<sst xmlns="http://schemas.openxmlformats.org/spreadsheetml/2006/main" count="99" uniqueCount="29">
  <si>
    <t>BẢNG GIÁ</t>
  </si>
  <si>
    <t>Mã vật tư</t>
  </si>
  <si>
    <t>Tên vật tư</t>
  </si>
  <si>
    <t>Đơn giá</t>
  </si>
  <si>
    <t>X</t>
  </si>
  <si>
    <t>D</t>
  </si>
  <si>
    <t>N</t>
  </si>
  <si>
    <t>Xăng A92</t>
  </si>
  <si>
    <t>Dầu Diesel</t>
  </si>
  <si>
    <t>Nhớt</t>
  </si>
  <si>
    <t>CHI TIẾT NHẬP XUẤT GIÁ XĂNG DẦU</t>
  </si>
  <si>
    <t>STT</t>
  </si>
  <si>
    <t>Số chứng từ</t>
  </si>
  <si>
    <t>Số lượng</t>
  </si>
  <si>
    <t>Tiền giảm</t>
  </si>
  <si>
    <t>Thành tiền</t>
  </si>
  <si>
    <t>X01N</t>
  </si>
  <si>
    <t>X04N</t>
  </si>
  <si>
    <t>D02X</t>
  </si>
  <si>
    <t>N03X</t>
  </si>
  <si>
    <t>D05N</t>
  </si>
  <si>
    <t>N06X</t>
  </si>
  <si>
    <t>N07X</t>
  </si>
  <si>
    <t>D08X</t>
  </si>
  <si>
    <t>N09N</t>
  </si>
  <si>
    <t>X10N</t>
  </si>
  <si>
    <t>Tổng số lượng</t>
  </si>
  <si>
    <t>Tổng thành tiền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</si>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</sst>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1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[24307039.xlsx]Sheet1!PivotTable1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869203849518809"/>
          <c:y val="0.2572178477690289"/>
          <c:w val="0.63984536307961504"/>
          <c:h val="0.6585309128025663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Sheet1!$M$19</c:f>
              <c:strCache>
                <c:ptCount val="1"/>
                <c:pt idx="0">
                  <c:v>Tổng số lượng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Sheet1!$L$20:$L$23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Sheet1!$M$20:$M$23</c:f>
              <c:numCache>
                <c:formatCode>General</c:formatCode>
                <c:ptCount val="3"/>
                <c:pt idx="0">
                  <c:v>1050</c:v>
                </c:pt>
                <c:pt idx="1">
                  <c:v>780</c:v>
                </c:pt>
                <c:pt idx="2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B-4914-B77E-A9B9F5D0980D}"/>
            </c:ext>
          </c:extLst>
        </c:ser>
        <c:ser>
          <c:idx val="1"/>
          <c:order val="1"/>
          <c:tx>
            <c:strRef>
              <c:f>Sheet1!$N$19</c:f>
              <c:strCache>
                <c:ptCount val="1"/>
                <c:pt idx="0">
                  <c:v>Tổng thành tiền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Sheet1!$L$20:$L$23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Sheet1!$N$20:$N$23</c:f>
              <c:numCache>
                <c:formatCode>General</c:formatCode>
                <c:ptCount val="3"/>
                <c:pt idx="0">
                  <c:v>18900000</c:v>
                </c:pt>
                <c:pt idx="1">
                  <c:v>35250000</c:v>
                </c:pt>
                <c:pt idx="2">
                  <c:v>28060000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B-4914-B77E-A9B9F5D09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933214991"/>
        <c:axId val="1933216239"/>
        <c:axId val="1194433151"/>
      </c:bar3DChart>
      <c:catAx>
        <c:axId val="19332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16239"/>
        <c:crosses val="autoZero"/>
        <c:auto val="1"/>
        <c:lblAlgn val="ctr"/>
        <c:lblOffset val="100"/>
        <c:noMultiLvlLbl val="0"/>
      </c:catAx>
      <c:valAx>
        <c:axId val="193321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14991"/>
        <c:crosses val="autoZero"/>
        <c:crossBetween val="between"/>
      </c:valAx>
      <c:serAx>
        <c:axId val="11944331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16239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1</xdr:row>
      <xdr:rowOff>142875</xdr:rowOff>
    </xdr:from>
    <xdr:to>
      <xdr:col>14</xdr:col>
      <xdr:colOff>4762</xdr:colOff>
      <xdr:row>16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Y66" refreshedDate="45613.737256134256" createdVersion="6" refreshedVersion="6" minRefreshableVersion="3" recordCount="10">
  <cacheSource type="worksheet">
    <worksheetSource ref="A11:G21" sheet="Sheet1"/>
  </cacheSource>
  <cacheFields count="7">
    <cacheField name="STT" numFmtId="0">
      <sharedItems containsSemiMixedTypes="0" containsString="0" containsNumber="1" containsInteger="1" minValue="1" maxValue="10"/>
    </cacheField>
    <cacheField name="Số chứng từ" numFmtId="0">
      <sharedItems/>
    </cacheField>
    <cacheField name="Tên vật tư" numFmtId="0">
      <sharedItems count="3">
        <s v="Dầu Diesel"/>
        <s v="Nhớt"/>
        <s v="Xăng A92"/>
      </sharedItems>
    </cacheField>
    <cacheField name="Số lượng" numFmtId="0">
      <sharedItems containsSemiMixedTypes="0" containsString="0" containsNumber="1" containsInteger="1" minValue="30" maxValue="800"/>
    </cacheField>
    <cacheField name="Đơn giá" numFmtId="0">
      <sharedItems containsSemiMixedTypes="0" containsString="0" containsNumber="1" containsInteger="1" minValue="20000" maxValue="50000"/>
    </cacheField>
    <cacheField name="Tiền giảm" numFmtId="0">
      <sharedItems containsSemiMixedTypes="0" containsString="0" containsNumber="1" containsInteger="1" minValue="0" maxValue="2000000"/>
    </cacheField>
    <cacheField name="Thành tiền" numFmtId="0">
      <sharedItems containsSemiMixedTypes="0" containsString="0" containsNumber="1" containsInteger="1" minValue="1150000" maxValue="18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2"/>
    <s v="D02X"/>
    <x v="0"/>
    <n v="150"/>
    <n v="20000"/>
    <n v="300000"/>
    <n v="2700000"/>
  </r>
  <r>
    <n v="5"/>
    <s v="D05N"/>
    <x v="0"/>
    <n v="600"/>
    <n v="20000"/>
    <n v="1200000"/>
    <n v="10800000"/>
  </r>
  <r>
    <n v="8"/>
    <s v="D08X"/>
    <x v="0"/>
    <n v="300"/>
    <n v="20000"/>
    <n v="600000"/>
    <n v="5400000"/>
  </r>
  <r>
    <n v="3"/>
    <s v="N03X"/>
    <x v="1"/>
    <n v="100"/>
    <n v="50000"/>
    <n v="500000"/>
    <n v="4500000"/>
  </r>
  <r>
    <n v="6"/>
    <s v="N06X"/>
    <x v="1"/>
    <n v="250"/>
    <n v="50000"/>
    <n v="1250000"/>
    <n v="11250000"/>
  </r>
  <r>
    <n v="7"/>
    <s v="N07X"/>
    <x v="1"/>
    <n v="400"/>
    <n v="50000"/>
    <n v="2000000"/>
    <n v="18000000"/>
  </r>
  <r>
    <n v="9"/>
    <s v="N09N"/>
    <x v="1"/>
    <n v="30"/>
    <n v="50000"/>
    <n v="0"/>
    <n v="1500000"/>
  </r>
  <r>
    <n v="1"/>
    <s v="X01N"/>
    <x v="2"/>
    <n v="50"/>
    <n v="23000"/>
    <n v="0"/>
    <n v="1150000"/>
  </r>
  <r>
    <n v="4"/>
    <s v="X04N"/>
    <x v="2"/>
    <n v="500"/>
    <n v="23000"/>
    <n v="1150000"/>
    <n v="10350000"/>
  </r>
  <r>
    <n v="10"/>
    <s v="X10N"/>
    <x v="2"/>
    <n v="800"/>
    <n v="23000"/>
    <n v="1840000"/>
    <n v="165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grandTotalCaption="Tổng cộng" updatedVersion="6" minRefreshableVersion="3" useAutoFormatting="1" itemPrintTitles="1" createdVersion="6" indent="0" outline="1" outlineData="1" multipleFieldFilters="0" chartFormat="1" rowHeaderCaption="Tên vật tư">
  <location ref="L19:N23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ổng số lượng" fld="3" baseField="2" baseItem="0"/>
    <dataField name="Tổng thành tiền" fld="6" baseField="2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tabSelected="1" workbookViewId="0">
      <selection activeCell="I18" sqref="I18"/>
    </sheetView>
  </sheetViews>
  <sheetFormatPr defaultRowHeight="15" x14ac:dyDescent="0.25"/>
  <cols>
    <col min="1" max="1" width="13.28515625" customWidth="1"/>
    <col min="2" max="2" width="19.28515625" customWidth="1"/>
    <col min="3" max="3" width="14.28515625" customWidth="1"/>
    <col min="4" max="5" width="13" customWidth="1"/>
    <col min="6" max="6" width="12.7109375" customWidth="1"/>
    <col min="7" max="7" width="11.85546875" customWidth="1"/>
    <col min="12" max="12" width="12.28515625" customWidth="1"/>
    <col min="13" max="13" width="13.85546875" customWidth="1"/>
    <col min="14" max="14" width="15" customWidth="1"/>
  </cols>
  <sheetData>
    <row r="2" spans="1:7" x14ac:dyDescent="0.25">
      <c r="A2" s="7" t="s">
        <v>0</v>
      </c>
      <c r="B2" s="7"/>
    </row>
    <row r="3" spans="1:7" x14ac:dyDescent="0.25">
      <c r="A3" s="2" t="s">
        <v>1</v>
      </c>
      <c r="B3" s="2" t="s">
        <v>2</v>
      </c>
      <c r="C3" s="2" t="s">
        <v>3</v>
      </c>
    </row>
    <row r="4" spans="1:7" x14ac:dyDescent="0.25">
      <c r="A4" s="1" t="s">
        <v>4</v>
      </c>
      <c r="B4" s="1" t="s">
        <v>7</v>
      </c>
      <c r="C4" s="1">
        <v>23000</v>
      </c>
    </row>
    <row r="5" spans="1:7" x14ac:dyDescent="0.25">
      <c r="A5" s="1" t="s">
        <v>5</v>
      </c>
      <c r="B5" s="1" t="s">
        <v>8</v>
      </c>
      <c r="C5" s="1">
        <v>20000</v>
      </c>
    </row>
    <row r="6" spans="1:7" x14ac:dyDescent="0.25">
      <c r="A6" s="1" t="s">
        <v>6</v>
      </c>
      <c r="B6" s="1" t="s">
        <v>9</v>
      </c>
      <c r="C6" s="1">
        <v>50000</v>
      </c>
    </row>
    <row r="10" spans="1:7" x14ac:dyDescent="0.25">
      <c r="A10" s="8" t="s">
        <v>10</v>
      </c>
      <c r="B10" s="7"/>
      <c r="C10" s="7"/>
      <c r="D10" s="7"/>
      <c r="E10" s="7"/>
    </row>
    <row r="11" spans="1:7" x14ac:dyDescent="0.25">
      <c r="A11" s="2" t="s">
        <v>11</v>
      </c>
      <c r="B11" s="2" t="s">
        <v>12</v>
      </c>
      <c r="C11" s="2" t="s">
        <v>2</v>
      </c>
      <c r="D11" s="2" t="s">
        <v>13</v>
      </c>
      <c r="E11" s="2" t="s">
        <v>3</v>
      </c>
      <c r="F11" s="2" t="s">
        <v>14</v>
      </c>
      <c r="G11" s="2" t="s">
        <v>15</v>
      </c>
    </row>
    <row r="12" spans="1:7" x14ac:dyDescent="0.25">
      <c r="A12" s="1">
        <v>2</v>
      </c>
      <c r="B12" s="1" t="s">
        <v>18</v>
      </c>
      <c r="C12" s="1" t="str">
        <f t="shared" ref="C12:C21" si="0">VLOOKUP(LEFT(B12,1),$A$4:$C$6,2,FALSE)</f>
        <v>Dầu Diesel</v>
      </c>
      <c r="D12" s="1">
        <v>150</v>
      </c>
      <c r="E12" s="1">
        <f t="shared" ref="E12:E21" si="1">VLOOKUP(LEFT(B12,1),$A$3:$C$6,3,FALSE)</f>
        <v>20000</v>
      </c>
      <c r="F12" s="1">
        <f t="shared" ref="F12:F21" si="2">IF(D12&gt;=100,E12*D12*0.1,0)</f>
        <v>300000</v>
      </c>
      <c r="G12" s="1">
        <f t="shared" ref="G12:G21" si="3">D12*E12-F12</f>
        <v>2700000</v>
      </c>
    </row>
    <row r="13" spans="1:7" x14ac:dyDescent="0.25">
      <c r="A13" s="6">
        <v>5</v>
      </c>
      <c r="B13" s="6" t="s">
        <v>20</v>
      </c>
      <c r="C13" s="6" t="str">
        <f t="shared" si="0"/>
        <v>Dầu Diesel</v>
      </c>
      <c r="D13" s="6">
        <v>600</v>
      </c>
      <c r="E13" s="6">
        <f t="shared" si="1"/>
        <v>20000</v>
      </c>
      <c r="F13" s="6">
        <f t="shared" si="2"/>
        <v>1200000</v>
      </c>
      <c r="G13" s="6">
        <f t="shared" si="3"/>
        <v>10800000</v>
      </c>
    </row>
    <row r="14" spans="1:7" x14ac:dyDescent="0.25">
      <c r="A14" s="1">
        <v>8</v>
      </c>
      <c r="B14" s="1" t="s">
        <v>23</v>
      </c>
      <c r="C14" s="1" t="str">
        <f t="shared" si="0"/>
        <v>Dầu Diesel</v>
      </c>
      <c r="D14" s="1">
        <v>300</v>
      </c>
      <c r="E14" s="1">
        <f t="shared" si="1"/>
        <v>20000</v>
      </c>
      <c r="F14" s="1">
        <f t="shared" si="2"/>
        <v>600000</v>
      </c>
      <c r="G14" s="1">
        <f t="shared" si="3"/>
        <v>5400000</v>
      </c>
    </row>
    <row r="15" spans="1:7" x14ac:dyDescent="0.25">
      <c r="A15" s="1">
        <v>3</v>
      </c>
      <c r="B15" s="1" t="s">
        <v>19</v>
      </c>
      <c r="C15" s="1" t="str">
        <f t="shared" si="0"/>
        <v>Nhớt</v>
      </c>
      <c r="D15" s="1">
        <v>100</v>
      </c>
      <c r="E15" s="1">
        <f t="shared" si="1"/>
        <v>50000</v>
      </c>
      <c r="F15" s="1">
        <f t="shared" si="2"/>
        <v>500000</v>
      </c>
      <c r="G15" s="1">
        <f t="shared" si="3"/>
        <v>4500000</v>
      </c>
    </row>
    <row r="16" spans="1:7" x14ac:dyDescent="0.25">
      <c r="A16" s="1">
        <v>6</v>
      </c>
      <c r="B16" s="1" t="s">
        <v>21</v>
      </c>
      <c r="C16" s="1" t="str">
        <f t="shared" si="0"/>
        <v>Nhớt</v>
      </c>
      <c r="D16" s="1">
        <v>250</v>
      </c>
      <c r="E16" s="1">
        <f t="shared" si="1"/>
        <v>50000</v>
      </c>
      <c r="F16" s="1">
        <f t="shared" si="2"/>
        <v>1250000</v>
      </c>
      <c r="G16" s="1">
        <f t="shared" si="3"/>
        <v>11250000</v>
      </c>
    </row>
    <row r="17" spans="1:14" x14ac:dyDescent="0.25">
      <c r="A17" s="6">
        <v>7</v>
      </c>
      <c r="B17" s="6" t="s">
        <v>22</v>
      </c>
      <c r="C17" s="6" t="str">
        <f t="shared" si="0"/>
        <v>Nhớt</v>
      </c>
      <c r="D17" s="6">
        <v>400</v>
      </c>
      <c r="E17" s="6">
        <f t="shared" si="1"/>
        <v>50000</v>
      </c>
      <c r="F17" s="6">
        <f t="shared" si="2"/>
        <v>2000000</v>
      </c>
      <c r="G17" s="6">
        <f t="shared" si="3"/>
        <v>18000000</v>
      </c>
    </row>
    <row r="18" spans="1:14" x14ac:dyDescent="0.25">
      <c r="A18" s="1">
        <v>9</v>
      </c>
      <c r="B18" s="1" t="s">
        <v>24</v>
      </c>
      <c r="C18" s="1" t="str">
        <f t="shared" si="0"/>
        <v>Nhớt</v>
      </c>
      <c r="D18" s="1">
        <v>30</v>
      </c>
      <c r="E18" s="1">
        <f t="shared" si="1"/>
        <v>50000</v>
      </c>
      <c r="F18" s="1">
        <f t="shared" si="2"/>
        <v>0</v>
      </c>
      <c r="G18" s="1">
        <f t="shared" si="3"/>
        <v>1500000</v>
      </c>
    </row>
    <row r="19" spans="1:14" x14ac:dyDescent="0.25">
      <c r="A19" s="1">
        <v>1</v>
      </c>
      <c r="B19" s="1" t="s">
        <v>16</v>
      </c>
      <c r="C19" s="1" t="str">
        <f t="shared" si="0"/>
        <v>Xăng A92</v>
      </c>
      <c r="D19" s="1">
        <v>50</v>
      </c>
      <c r="E19" s="1">
        <f t="shared" si="1"/>
        <v>23000</v>
      </c>
      <c r="F19" s="1">
        <f t="shared" si="2"/>
        <v>0</v>
      </c>
      <c r="G19" s="1">
        <f t="shared" si="3"/>
        <v>1150000</v>
      </c>
      <c r="L19" s="3" t="s">
        <v>2</v>
      </c>
      <c r="M19" t="s">
        <v>26</v>
      </c>
      <c r="N19" t="s">
        <v>27</v>
      </c>
    </row>
    <row r="20" spans="1:14" x14ac:dyDescent="0.25">
      <c r="A20" s="6">
        <v>4</v>
      </c>
      <c r="B20" s="6" t="s">
        <v>17</v>
      </c>
      <c r="C20" s="6" t="str">
        <f t="shared" si="0"/>
        <v>Xăng A92</v>
      </c>
      <c r="D20" s="6">
        <v>500</v>
      </c>
      <c r="E20" s="6">
        <f t="shared" si="1"/>
        <v>23000</v>
      </c>
      <c r="F20" s="6">
        <f t="shared" si="2"/>
        <v>1150000</v>
      </c>
      <c r="G20" s="6">
        <f t="shared" si="3"/>
        <v>10350000</v>
      </c>
      <c r="L20" s="4" t="s">
        <v>8</v>
      </c>
      <c r="M20" s="5">
        <v>1050</v>
      </c>
      <c r="N20" s="5">
        <v>18900000</v>
      </c>
    </row>
    <row r="21" spans="1:14" x14ac:dyDescent="0.25">
      <c r="A21" s="6">
        <v>10</v>
      </c>
      <c r="B21" s="6" t="s">
        <v>25</v>
      </c>
      <c r="C21" s="6" t="str">
        <f t="shared" si="0"/>
        <v>Xăng A92</v>
      </c>
      <c r="D21" s="6">
        <v>800</v>
      </c>
      <c r="E21" s="6">
        <f t="shared" si="1"/>
        <v>23000</v>
      </c>
      <c r="F21" s="6">
        <f t="shared" si="2"/>
        <v>1840000</v>
      </c>
      <c r="G21" s="6">
        <f t="shared" si="3"/>
        <v>16560000</v>
      </c>
      <c r="L21" s="4" t="s">
        <v>9</v>
      </c>
      <c r="M21" s="5">
        <v>780</v>
      </c>
      <c r="N21" s="5">
        <v>35250000</v>
      </c>
    </row>
    <row r="22" spans="1:14" x14ac:dyDescent="0.25">
      <c r="L22" s="4" t="s">
        <v>7</v>
      </c>
      <c r="M22" s="5">
        <v>1350</v>
      </c>
      <c r="N22" s="5">
        <v>28060000</v>
      </c>
    </row>
    <row r="23" spans="1:14" x14ac:dyDescent="0.25">
      <c r="L23" s="4" t="s">
        <v>28</v>
      </c>
      <c r="M23" s="5">
        <v>3180</v>
      </c>
      <c r="N23" s="5">
        <v>82210000</v>
      </c>
    </row>
  </sheetData>
  <sortState ref="A12:G21">
    <sortCondition ref="C12"/>
  </sortState>
  <mergeCells count="2">
    <mergeCell ref="A2:B2"/>
    <mergeCell ref="A10:E10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workbookViewId="0">
      <selection activeCell="A14" sqref="A14:G14"/>
    </sheetView>
  </sheetViews>
  <sheetFormatPr defaultRowHeight="15" x14ac:dyDescent="0.25"/>
  <cols>
    <col min="1" max="2" width="9.140625" customWidth="1"/>
  </cols>
  <sheetData>
    <row r="2" spans="1:7" x14ac:dyDescent="0.25">
      <c r="A2" s="7" t="s">
        <v>0</v>
      </c>
      <c r="B2" s="7"/>
    </row>
    <row r="3" spans="1:7" x14ac:dyDescent="0.25">
      <c r="A3" s="2" t="s">
        <v>1</v>
      </c>
      <c r="B3" s="2" t="s">
        <v>2</v>
      </c>
      <c r="C3" s="2" t="s">
        <v>3</v>
      </c>
    </row>
    <row r="4" spans="1:7" x14ac:dyDescent="0.25">
      <c r="A4" s="1" t="s">
        <v>4</v>
      </c>
      <c r="B4" s="1" t="s">
        <v>7</v>
      </c>
      <c r="C4" s="1">
        <v>23000</v>
      </c>
    </row>
    <row r="5" spans="1:7" x14ac:dyDescent="0.25">
      <c r="A5" s="1" t="s">
        <v>5</v>
      </c>
      <c r="B5" s="1" t="s">
        <v>8</v>
      </c>
      <c r="C5" s="1">
        <v>20000</v>
      </c>
    </row>
    <row r="6" spans="1:7" x14ac:dyDescent="0.25">
      <c r="A6" s="1" t="s">
        <v>6</v>
      </c>
      <c r="B6" s="1" t="s">
        <v>9</v>
      </c>
      <c r="C6" s="1">
        <v>50000</v>
      </c>
    </row>
    <row r="10" spans="1:7" x14ac:dyDescent="0.25">
      <c r="A10" s="8" t="s">
        <v>10</v>
      </c>
      <c r="B10" s="7"/>
      <c r="C10" s="7"/>
      <c r="D10" s="7"/>
      <c r="E10" s="7"/>
    </row>
    <row r="11" spans="1:7" x14ac:dyDescent="0.25">
      <c r="A11" s="2" t="s">
        <v>11</v>
      </c>
      <c r="B11" s="2" t="s">
        <v>12</v>
      </c>
      <c r="C11" s="2" t="s">
        <v>2</v>
      </c>
      <c r="D11" s="2" t="s">
        <v>13</v>
      </c>
      <c r="E11" s="2" t="s">
        <v>3</v>
      </c>
      <c r="F11" s="2" t="s">
        <v>14</v>
      </c>
      <c r="G11" s="2" t="s">
        <v>15</v>
      </c>
    </row>
    <row r="12" spans="1:7" x14ac:dyDescent="0.25">
      <c r="A12" s="1">
        <v>1</v>
      </c>
      <c r="B12" s="1" t="s">
        <v>16</v>
      </c>
      <c r="C12" s="1" t="str">
        <f>VLOOKUP(LEFT(B12,1),$A$4:$C$6,2,FALSE)</f>
        <v>Xăng A92</v>
      </c>
      <c r="D12" s="1">
        <v>50</v>
      </c>
      <c r="E12" s="1">
        <f>VLOOKUP(LEFT(B12,1),$A$3:$C$6,3,FALSE)</f>
        <v>23000</v>
      </c>
      <c r="F12" s="1">
        <f>IF(D12&gt;=100,E12*D12*0.1,0)</f>
        <v>0</v>
      </c>
      <c r="G12" s="1">
        <f>D12*E12-F12</f>
        <v>1150000</v>
      </c>
    </row>
    <row r="13" spans="1:7" x14ac:dyDescent="0.25">
      <c r="A13" s="6">
        <v>4</v>
      </c>
      <c r="B13" s="6" t="s">
        <v>17</v>
      </c>
      <c r="C13" s="6" t="str">
        <f>VLOOKUP(LEFT(B13,1),$A$4:$C$6,2,FALSE)</f>
        <v>Xăng A92</v>
      </c>
      <c r="D13" s="6">
        <v>500</v>
      </c>
      <c r="E13" s="6">
        <f>VLOOKUP(LEFT(B13,1),$A$3:$C$6,3,FALSE)</f>
        <v>23000</v>
      </c>
      <c r="F13" s="6">
        <f>IF(D13&gt;=100,E13*D13*0.1,0)</f>
        <v>1150000</v>
      </c>
      <c r="G13" s="6">
        <f>D13*E13-F13</f>
        <v>10350000</v>
      </c>
    </row>
    <row r="14" spans="1:7" x14ac:dyDescent="0.25">
      <c r="A14" s="6">
        <v>10</v>
      </c>
      <c r="B14" s="6" t="s">
        <v>25</v>
      </c>
      <c r="C14" s="6" t="str">
        <f>VLOOKUP(LEFT(B14,1),$A$4:$C$6,2,FALSE)</f>
        <v>Xăng A92</v>
      </c>
      <c r="D14" s="6">
        <v>800</v>
      </c>
      <c r="E14" s="6">
        <f>VLOOKUP(LEFT(B14,1),$A$3:$C$6,3,FALSE)</f>
        <v>23000</v>
      </c>
      <c r="F14" s="6">
        <f>IF(D14&gt;=100,E14*D14*0.1,0)</f>
        <v>1840000</v>
      </c>
      <c r="G14" s="6">
        <f>D14*E14-F14</f>
        <v>16560000</v>
      </c>
    </row>
  </sheetData>
  <mergeCells count="2">
    <mergeCell ref="A2:B2"/>
    <mergeCell ref="A10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J6" sqref="J6"/>
    </sheetView>
  </sheetViews>
  <sheetFormatPr defaultRowHeight="15" x14ac:dyDescent="0.25"/>
  <sheetData>
    <row r="2" spans="1:7" x14ac:dyDescent="0.25">
      <c r="A2" s="7" t="s">
        <v>0</v>
      </c>
      <c r="B2" s="7"/>
    </row>
    <row r="3" spans="1:7" x14ac:dyDescent="0.25">
      <c r="A3" s="2" t="s">
        <v>1</v>
      </c>
      <c r="B3" s="2" t="s">
        <v>2</v>
      </c>
      <c r="C3" s="2" t="s">
        <v>3</v>
      </c>
    </row>
    <row r="4" spans="1:7" x14ac:dyDescent="0.25">
      <c r="A4" s="1" t="s">
        <v>4</v>
      </c>
      <c r="B4" s="1" t="s">
        <v>7</v>
      </c>
      <c r="C4" s="1">
        <v>23000</v>
      </c>
    </row>
    <row r="5" spans="1:7" x14ac:dyDescent="0.25">
      <c r="A5" s="1" t="s">
        <v>5</v>
      </c>
      <c r="B5" s="1" t="s">
        <v>8</v>
      </c>
      <c r="C5" s="1">
        <v>20000</v>
      </c>
    </row>
    <row r="6" spans="1:7" x14ac:dyDescent="0.25">
      <c r="A6" s="1" t="s">
        <v>6</v>
      </c>
      <c r="B6" s="1" t="s">
        <v>9</v>
      </c>
      <c r="C6" s="1">
        <v>50000</v>
      </c>
    </row>
    <row r="10" spans="1:7" x14ac:dyDescent="0.25">
      <c r="A10" s="8" t="s">
        <v>10</v>
      </c>
      <c r="B10" s="7"/>
      <c r="C10" s="7"/>
      <c r="D10" s="7"/>
      <c r="E10" s="7"/>
    </row>
    <row r="11" spans="1:7" x14ac:dyDescent="0.25">
      <c r="A11" s="2" t="s">
        <v>11</v>
      </c>
      <c r="B11" s="2" t="s">
        <v>12</v>
      </c>
      <c r="C11" s="2" t="s">
        <v>2</v>
      </c>
      <c r="D11" s="2" t="s">
        <v>13</v>
      </c>
      <c r="E11" s="2" t="s">
        <v>3</v>
      </c>
      <c r="F11" s="2" t="s">
        <v>14</v>
      </c>
      <c r="G11" s="2" t="s">
        <v>15</v>
      </c>
    </row>
    <row r="12" spans="1:7" x14ac:dyDescent="0.25">
      <c r="A12" s="1">
        <v>2</v>
      </c>
      <c r="B12" s="1" t="s">
        <v>18</v>
      </c>
      <c r="C12" s="1" t="str">
        <f>VLOOKUP(LEFT(B12,1),$A$4:$C$6,2,FALSE)</f>
        <v>Dầu Diesel</v>
      </c>
      <c r="D12" s="1">
        <v>150</v>
      </c>
      <c r="E12" s="1">
        <f>VLOOKUP(LEFT(B12,1),$A$3:$C$6,3,FALSE)</f>
        <v>20000</v>
      </c>
      <c r="F12" s="1">
        <f>IF(D12&gt;=100,E12*D12*0.1,0)</f>
        <v>300000</v>
      </c>
      <c r="G12" s="1">
        <f>D12*E12-F12</f>
        <v>2700000</v>
      </c>
    </row>
    <row r="13" spans="1:7" x14ac:dyDescent="0.25">
      <c r="A13" s="6">
        <v>5</v>
      </c>
      <c r="B13" s="6" t="s">
        <v>20</v>
      </c>
      <c r="C13" s="6" t="str">
        <f>VLOOKUP(LEFT(B13,1),$A$4:$C$6,2,FALSE)</f>
        <v>Dầu Diesel</v>
      </c>
      <c r="D13" s="6">
        <v>600</v>
      </c>
      <c r="E13" s="6">
        <f>VLOOKUP(LEFT(B13,1),$A$3:$C$6,3,FALSE)</f>
        <v>20000</v>
      </c>
      <c r="F13" s="6">
        <f>IF(D13&gt;=100,E13*D13*0.1,0)</f>
        <v>1200000</v>
      </c>
      <c r="G13" s="6">
        <f>D13*E13-F13</f>
        <v>10800000</v>
      </c>
    </row>
    <row r="14" spans="1:7" x14ac:dyDescent="0.25">
      <c r="A14" s="1">
        <v>8</v>
      </c>
      <c r="B14" s="1" t="s">
        <v>23</v>
      </c>
      <c r="C14" s="1" t="str">
        <f>VLOOKUP(LEFT(B14,1),$A$4:$C$6,2,FALSE)</f>
        <v>Dầu Diesel</v>
      </c>
      <c r="D14" s="1">
        <v>300</v>
      </c>
      <c r="E14" s="1">
        <f>VLOOKUP(LEFT(B14,1),$A$3:$C$6,3,FALSE)</f>
        <v>20000</v>
      </c>
      <c r="F14" s="1">
        <f>IF(D14&gt;=100,E14*D14*0.1,0)</f>
        <v>600000</v>
      </c>
      <c r="G14" s="1">
        <f>D14*E14-F14</f>
        <v>5400000</v>
      </c>
    </row>
    <row r="15" spans="1:7" x14ac:dyDescent="0.25">
      <c r="A15" s="9"/>
      <c r="B15" s="9"/>
      <c r="C15" s="9"/>
      <c r="D15" s="9"/>
      <c r="E15" s="9"/>
      <c r="F15" s="9"/>
      <c r="G15" s="9"/>
    </row>
  </sheetData>
  <mergeCells count="2">
    <mergeCell ref="A2:B2"/>
    <mergeCell ref="A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F22" sqref="F22"/>
    </sheetView>
  </sheetViews>
  <sheetFormatPr defaultRowHeight="15" x14ac:dyDescent="0.25"/>
  <sheetData>
    <row r="2" spans="1:7" x14ac:dyDescent="0.25">
      <c r="A2" s="7" t="s">
        <v>0</v>
      </c>
      <c r="B2" s="7"/>
    </row>
    <row r="3" spans="1:7" x14ac:dyDescent="0.25">
      <c r="A3" s="2" t="s">
        <v>1</v>
      </c>
      <c r="B3" s="2" t="s">
        <v>2</v>
      </c>
      <c r="C3" s="2" t="s">
        <v>3</v>
      </c>
    </row>
    <row r="4" spans="1:7" x14ac:dyDescent="0.25">
      <c r="A4" s="1" t="s">
        <v>4</v>
      </c>
      <c r="B4" s="1" t="s">
        <v>7</v>
      </c>
      <c r="C4" s="1">
        <v>23000</v>
      </c>
    </row>
    <row r="5" spans="1:7" x14ac:dyDescent="0.25">
      <c r="A5" s="1" t="s">
        <v>5</v>
      </c>
      <c r="B5" s="1" t="s">
        <v>8</v>
      </c>
      <c r="C5" s="1">
        <v>20000</v>
      </c>
    </row>
    <row r="6" spans="1:7" x14ac:dyDescent="0.25">
      <c r="A6" s="1" t="s">
        <v>6</v>
      </c>
      <c r="B6" s="1" t="s">
        <v>9</v>
      </c>
      <c r="C6" s="1">
        <v>50000</v>
      </c>
    </row>
    <row r="10" spans="1:7" x14ac:dyDescent="0.25">
      <c r="A10" s="8" t="s">
        <v>10</v>
      </c>
      <c r="B10" s="7"/>
      <c r="C10" s="7"/>
      <c r="D10" s="7"/>
      <c r="E10" s="7"/>
    </row>
    <row r="11" spans="1:7" x14ac:dyDescent="0.25">
      <c r="A11" s="2" t="s">
        <v>11</v>
      </c>
      <c r="B11" s="2" t="s">
        <v>12</v>
      </c>
      <c r="C11" s="2" t="s">
        <v>2</v>
      </c>
      <c r="D11" s="2" t="s">
        <v>13</v>
      </c>
      <c r="E11" s="2" t="s">
        <v>3</v>
      </c>
      <c r="F11" s="2" t="s">
        <v>14</v>
      </c>
      <c r="G11" s="2" t="s">
        <v>15</v>
      </c>
    </row>
    <row r="12" spans="1:7" x14ac:dyDescent="0.25">
      <c r="A12" s="1">
        <v>3</v>
      </c>
      <c r="B12" s="1" t="s">
        <v>19</v>
      </c>
      <c r="C12" s="1" t="str">
        <f>VLOOKUP(LEFT(B12,1),$A$4:$C$6,2,FALSE)</f>
        <v>Nhớt</v>
      </c>
      <c r="D12" s="1">
        <v>100</v>
      </c>
      <c r="E12" s="1">
        <f>VLOOKUP(LEFT(B12,1),$A$3:$C$6,3,FALSE)</f>
        <v>50000</v>
      </c>
      <c r="F12" s="1">
        <f>IF(D12&gt;=100,E12*D12*0.1,0)</f>
        <v>500000</v>
      </c>
      <c r="G12" s="1">
        <f>D12*E12-F12</f>
        <v>4500000</v>
      </c>
    </row>
    <row r="13" spans="1:7" x14ac:dyDescent="0.25">
      <c r="A13" s="1">
        <v>6</v>
      </c>
      <c r="B13" s="1" t="s">
        <v>21</v>
      </c>
      <c r="C13" s="1" t="str">
        <f>VLOOKUP(LEFT(B13,1),$A$4:$C$6,2,FALSE)</f>
        <v>Nhớt</v>
      </c>
      <c r="D13" s="1">
        <v>250</v>
      </c>
      <c r="E13" s="1">
        <f>VLOOKUP(LEFT(B13,1),$A$3:$C$6,3,FALSE)</f>
        <v>50000</v>
      </c>
      <c r="F13" s="1">
        <f>IF(D13&gt;=100,E13*D13*0.1,0)</f>
        <v>1250000</v>
      </c>
      <c r="G13" s="1">
        <f>D13*E13-F13</f>
        <v>11250000</v>
      </c>
    </row>
    <row r="14" spans="1:7" x14ac:dyDescent="0.25">
      <c r="A14" s="6">
        <v>7</v>
      </c>
      <c r="B14" s="6" t="s">
        <v>22</v>
      </c>
      <c r="C14" s="6" t="str">
        <f>VLOOKUP(LEFT(B14,1),$A$4:$C$6,2,FALSE)</f>
        <v>Nhớt</v>
      </c>
      <c r="D14" s="6">
        <v>400</v>
      </c>
      <c r="E14" s="6">
        <f>VLOOKUP(LEFT(B14,1),$A$3:$C$6,3,FALSE)</f>
        <v>50000</v>
      </c>
      <c r="F14" s="6">
        <f>IF(D14&gt;=100,E14*D14*0.1,0)</f>
        <v>2000000</v>
      </c>
      <c r="G14" s="6">
        <f>D14*E14-F14</f>
        <v>18000000</v>
      </c>
    </row>
    <row r="15" spans="1:7" x14ac:dyDescent="0.25">
      <c r="A15" s="1">
        <v>9</v>
      </c>
      <c r="B15" s="1" t="s">
        <v>24</v>
      </c>
      <c r="C15" s="1" t="str">
        <f>VLOOKUP(LEFT(B15,1),$A$4:$C$6,2,FALSE)</f>
        <v>Nhớt</v>
      </c>
      <c r="D15" s="1">
        <v>30</v>
      </c>
      <c r="E15" s="1">
        <f>VLOOKUP(LEFT(B15,1),$A$3:$C$6,3,FALSE)</f>
        <v>50000</v>
      </c>
      <c r="F15" s="1">
        <f>IF(D15&gt;=100,E15*D15*0.1,0)</f>
        <v>0</v>
      </c>
      <c r="G15" s="1">
        <f>D15*E15-F15</f>
        <v>1500000</v>
      </c>
    </row>
  </sheetData>
  <mergeCells count="2">
    <mergeCell ref="A2:B2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Xăng A92</vt:lpstr>
      <vt:lpstr>Dầu diesel</vt:lpstr>
      <vt:lpstr>Nhớt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MAY66</dc:creator>
  <cp:lastModifiedBy>MAY66</cp:lastModifiedBy>
  <dcterms:created xsi:type="dcterms:W3CDTF">2024-11-17T10:32:42Z</dcterms:created>
  <dcterms:modified xsi:type="dcterms:W3CDTF">2024-11-17T11:47:55Z</dcterms:modified>
</cp:coreProperties>
</file>